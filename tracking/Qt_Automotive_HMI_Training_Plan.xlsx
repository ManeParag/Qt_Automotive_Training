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m99257\Downloads\Study_Material\QT\"/>
    </mc:Choice>
  </mc:AlternateContent>
  <xr:revisionPtr revIDLastSave="0" documentId="13_ncr:1_{3F6FCB75-BD70-459E-A813-E743D9E8C71C}" xr6:coauthVersionLast="47" xr6:coauthVersionMax="47" xr10:uidLastSave="{00000000-0000-0000-0000-000000000000}"/>
  <bookViews>
    <workbookView xWindow="-108" yWindow="-108" windowWidth="23256" windowHeight="13896" tabRatio="735" xr2:uid="{00000000-000D-0000-FFFF-FFFF00000000}"/>
  </bookViews>
  <sheets>
    <sheet name="Dashboard" sheetId="1" r:id="rId1"/>
    <sheet name="TraineeProgressTracker" sheetId="2" r:id="rId2"/>
    <sheet name="Qt_Training_Plan" sheetId="5" r:id="rId3"/>
    <sheet name="Qt_Practice_Tasks" sheetId="6" r:id="rId4"/>
    <sheet name="Qt_LearningMaterial" sheetId="7" r:id="rId5"/>
    <sheet name="Qt_FinalProject(Optional)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7" i="2" l="1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6" i="2"/>
  <c r="T30" i="2"/>
  <c r="F31" i="1" s="1"/>
  <c r="S30" i="2"/>
  <c r="E31" i="1" s="1"/>
  <c r="R30" i="2"/>
  <c r="D31" i="1" s="1"/>
  <c r="Q30" i="2"/>
  <c r="V30" i="2" s="1"/>
  <c r="G31" i="1" s="1"/>
  <c r="H31" i="1" s="1"/>
  <c r="T29" i="2"/>
  <c r="F30" i="1" s="1"/>
  <c r="S29" i="2"/>
  <c r="E30" i="1" s="1"/>
  <c r="R29" i="2"/>
  <c r="D30" i="1" s="1"/>
  <c r="Q29" i="2"/>
  <c r="V29" i="2" s="1"/>
  <c r="G30" i="1" s="1"/>
  <c r="H30" i="1" s="1"/>
  <c r="V28" i="2"/>
  <c r="G29" i="1" s="1"/>
  <c r="H29" i="1" s="1"/>
  <c r="T28" i="2"/>
  <c r="F29" i="1" s="1"/>
  <c r="S28" i="2"/>
  <c r="E29" i="1" s="1"/>
  <c r="R28" i="2"/>
  <c r="Q28" i="2"/>
  <c r="T27" i="2"/>
  <c r="F28" i="1" s="1"/>
  <c r="S27" i="2"/>
  <c r="E28" i="1" s="1"/>
  <c r="R27" i="2"/>
  <c r="D28" i="1" s="1"/>
  <c r="Q27" i="2"/>
  <c r="V27" i="2" s="1"/>
  <c r="G28" i="1" s="1"/>
  <c r="H28" i="1" s="1"/>
  <c r="V26" i="2"/>
  <c r="G27" i="1" s="1"/>
  <c r="H27" i="1" s="1"/>
  <c r="T26" i="2"/>
  <c r="F27" i="1" s="1"/>
  <c r="S26" i="2"/>
  <c r="E27" i="1" s="1"/>
  <c r="R26" i="2"/>
  <c r="D27" i="1" s="1"/>
  <c r="Q26" i="2"/>
  <c r="T25" i="2"/>
  <c r="S25" i="2"/>
  <c r="R25" i="2"/>
  <c r="Q25" i="2"/>
  <c r="V25" i="2" s="1"/>
  <c r="G26" i="1" s="1"/>
  <c r="H26" i="1" s="1"/>
  <c r="T24" i="2"/>
  <c r="F25" i="1" s="1"/>
  <c r="S24" i="2"/>
  <c r="E25" i="1" s="1"/>
  <c r="R24" i="2"/>
  <c r="D25" i="1" s="1"/>
  <c r="Q24" i="2"/>
  <c r="V24" i="2" s="1"/>
  <c r="T23" i="2"/>
  <c r="F24" i="1" s="1"/>
  <c r="S23" i="2"/>
  <c r="E24" i="1" s="1"/>
  <c r="R23" i="2"/>
  <c r="D24" i="1" s="1"/>
  <c r="Q23" i="2"/>
  <c r="V23" i="2" s="1"/>
  <c r="G24" i="1" s="1"/>
  <c r="H24" i="1" s="1"/>
  <c r="T22" i="2"/>
  <c r="F23" i="1" s="1"/>
  <c r="S22" i="2"/>
  <c r="E23" i="1" s="1"/>
  <c r="R22" i="2"/>
  <c r="D23" i="1" s="1"/>
  <c r="Q22" i="2"/>
  <c r="V22" i="2" s="1"/>
  <c r="G23" i="1" s="1"/>
  <c r="H23" i="1" s="1"/>
  <c r="T21" i="2"/>
  <c r="F22" i="1" s="1"/>
  <c r="S21" i="2"/>
  <c r="E22" i="1" s="1"/>
  <c r="R21" i="2"/>
  <c r="D22" i="1" s="1"/>
  <c r="Q21" i="2"/>
  <c r="V21" i="2" s="1"/>
  <c r="G22" i="1" s="1"/>
  <c r="H22" i="1" s="1"/>
  <c r="V20" i="2"/>
  <c r="G21" i="1" s="1"/>
  <c r="H21" i="1" s="1"/>
  <c r="T20" i="2"/>
  <c r="F21" i="1" s="1"/>
  <c r="S20" i="2"/>
  <c r="R20" i="2"/>
  <c r="Q20" i="2"/>
  <c r="T19" i="2"/>
  <c r="F20" i="1" s="1"/>
  <c r="S19" i="2"/>
  <c r="E20" i="1" s="1"/>
  <c r="R19" i="2"/>
  <c r="D20" i="1" s="1"/>
  <c r="Q19" i="2"/>
  <c r="V19" i="2" s="1"/>
  <c r="G20" i="1" s="1"/>
  <c r="T18" i="2"/>
  <c r="F19" i="1" s="1"/>
  <c r="S18" i="2"/>
  <c r="E19" i="1" s="1"/>
  <c r="R18" i="2"/>
  <c r="D19" i="1" s="1"/>
  <c r="Q18" i="2"/>
  <c r="V18" i="2" s="1"/>
  <c r="G19" i="1" s="1"/>
  <c r="H19" i="1" s="1"/>
  <c r="T17" i="2"/>
  <c r="F18" i="1" s="1"/>
  <c r="S17" i="2"/>
  <c r="E18" i="1" s="1"/>
  <c r="R17" i="2"/>
  <c r="D18" i="1" s="1"/>
  <c r="Q17" i="2"/>
  <c r="V17" i="2" s="1"/>
  <c r="G18" i="1" s="1"/>
  <c r="H18" i="1" s="1"/>
  <c r="T16" i="2"/>
  <c r="F17" i="1" s="1"/>
  <c r="S16" i="2"/>
  <c r="E17" i="1" s="1"/>
  <c r="R16" i="2"/>
  <c r="D17" i="1" s="1"/>
  <c r="Q16" i="2"/>
  <c r="V16" i="2" s="1"/>
  <c r="G17" i="1" s="1"/>
  <c r="H17" i="1" s="1"/>
  <c r="T15" i="2"/>
  <c r="F16" i="1" s="1"/>
  <c r="S15" i="2"/>
  <c r="R15" i="2"/>
  <c r="D16" i="1" s="1"/>
  <c r="Q15" i="2"/>
  <c r="V15" i="2" s="1"/>
  <c r="G16" i="1" s="1"/>
  <c r="H16" i="1" s="1"/>
  <c r="T14" i="2"/>
  <c r="S14" i="2"/>
  <c r="E15" i="1" s="1"/>
  <c r="R14" i="2"/>
  <c r="D15" i="1" s="1"/>
  <c r="Q14" i="2"/>
  <c r="V14" i="2" s="1"/>
  <c r="G15" i="1" s="1"/>
  <c r="H15" i="1" s="1"/>
  <c r="T13" i="2"/>
  <c r="S13" i="2"/>
  <c r="R13" i="2"/>
  <c r="Q13" i="2"/>
  <c r="V13" i="2" s="1"/>
  <c r="G14" i="1" s="1"/>
  <c r="H14" i="1" s="1"/>
  <c r="T12" i="2"/>
  <c r="F13" i="1" s="1"/>
  <c r="S12" i="2"/>
  <c r="E13" i="1" s="1"/>
  <c r="R12" i="2"/>
  <c r="D13" i="1" s="1"/>
  <c r="Q12" i="2"/>
  <c r="V12" i="2" s="1"/>
  <c r="G13" i="1" s="1"/>
  <c r="H13" i="1" s="1"/>
  <c r="T11" i="2"/>
  <c r="S11" i="2"/>
  <c r="R11" i="2"/>
  <c r="D12" i="1" s="1"/>
  <c r="Q11" i="2"/>
  <c r="V11" i="2" s="1"/>
  <c r="G12" i="1" s="1"/>
  <c r="H12" i="1" s="1"/>
  <c r="T10" i="2"/>
  <c r="F11" i="1" s="1"/>
  <c r="S10" i="2"/>
  <c r="E11" i="1" s="1"/>
  <c r="R10" i="2"/>
  <c r="D11" i="1" s="1"/>
  <c r="Q10" i="2"/>
  <c r="V10" i="2" s="1"/>
  <c r="G11" i="1" s="1"/>
  <c r="H11" i="1" s="1"/>
  <c r="T9" i="2"/>
  <c r="F10" i="1" s="1"/>
  <c r="S9" i="2"/>
  <c r="E10" i="1" s="1"/>
  <c r="R9" i="2"/>
  <c r="D10" i="1" s="1"/>
  <c r="Q9" i="2"/>
  <c r="V9" i="2" s="1"/>
  <c r="G10" i="1" s="1"/>
  <c r="H10" i="1" s="1"/>
  <c r="T8" i="2"/>
  <c r="S8" i="2"/>
  <c r="R8" i="2"/>
  <c r="Q8" i="2"/>
  <c r="V8" i="2" s="1"/>
  <c r="G9" i="1" s="1"/>
  <c r="H9" i="1" s="1"/>
  <c r="T7" i="2"/>
  <c r="F8" i="1" s="1"/>
  <c r="S7" i="2"/>
  <c r="E8" i="1" s="1"/>
  <c r="R7" i="2"/>
  <c r="D8" i="1" s="1"/>
  <c r="Q7" i="2"/>
  <c r="V7" i="2" s="1"/>
  <c r="G8" i="1" s="1"/>
  <c r="H8" i="1" s="1"/>
  <c r="T6" i="2"/>
  <c r="F7" i="1" s="1"/>
  <c r="S6" i="2"/>
  <c r="E7" i="1" s="1"/>
  <c r="R6" i="2"/>
  <c r="D7" i="1" s="1"/>
  <c r="Q6" i="2"/>
  <c r="V6" i="2" s="1"/>
  <c r="G7" i="1" s="1"/>
  <c r="H7" i="1" s="1"/>
  <c r="D29" i="1"/>
  <c r="F26" i="1"/>
  <c r="E26" i="1"/>
  <c r="D26" i="1"/>
  <c r="G25" i="1"/>
  <c r="H25" i="1" s="1"/>
  <c r="E21" i="1"/>
  <c r="D21" i="1"/>
  <c r="H20" i="1"/>
  <c r="E16" i="1"/>
  <c r="F15" i="1"/>
  <c r="F14" i="1"/>
  <c r="E14" i="1"/>
  <c r="D14" i="1"/>
  <c r="F12" i="1"/>
  <c r="E12" i="1"/>
  <c r="F9" i="1"/>
  <c r="E9" i="1"/>
  <c r="D9" i="1"/>
  <c r="D4" i="1"/>
  <c r="A4" i="1"/>
</calcChain>
</file>

<file path=xl/sharedStrings.xml><?xml version="1.0" encoding="utf-8"?>
<sst xmlns="http://schemas.openxmlformats.org/spreadsheetml/2006/main" count="667" uniqueCount="221">
  <si>
    <t>Qt Automotive HMI Training — Batch 1 Dashboard</t>
  </si>
  <si>
    <t>Goal: Build a real-time automotive HMI showing speed, RPM, fuel, temperature using gauges, charts &amp; progress bars</t>
  </si>
  <si>
    <t>Total Trainees</t>
  </si>
  <si>
    <t>Departments</t>
  </si>
  <si>
    <t>Total Topics</t>
  </si>
  <si>
    <t>#</t>
  </si>
  <si>
    <t>Name</t>
  </si>
  <si>
    <t>Department</t>
  </si>
  <si>
    <t>Ph.1 %</t>
  </si>
  <si>
    <t>Ph.2 %</t>
  </si>
  <si>
    <t>Ph.3 %</t>
  </si>
  <si>
    <t>Overall %</t>
  </si>
  <si>
    <t>Status</t>
  </si>
  <si>
    <t>LEGEND:   ⏳ Not Started   |   🔄 In Progress (&lt;50%)   |   📈 Advanced (50–99%)   |   ✅ Completed (100%)</t>
  </si>
  <si>
    <t>Qt Automotive HMI — Topic Tracker</t>
  </si>
  <si>
    <t xml:space="preserve">  Status:   ✅ Completed   🔄 In Progress   ⏳ Not Started   </t>
  </si>
  <si>
    <t>📊 Summary</t>
  </si>
  <si>
    <t>🔗 GitHub Submissions</t>
  </si>
  <si>
    <t>Day 1</t>
  </si>
  <si>
    <t>Day 1-2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</si>
  <si>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</si>
  <si>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</si>
  <si>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</si>
  <si>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</si>
  <si>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</si>
  <si>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</si>
  <si>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</si>
  <si>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</si>
  <si>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Phase 1</t>
  </si>
  <si>
    <t>Phase 2</t>
  </si>
  <si>
    <t>Phase 3</t>
  </si>
  <si>
    <t>Overall</t>
  </si>
  <si>
    <t>Final HMI</t>
  </si>
  <si>
    <t>Personal repo</t>
  </si>
  <si>
    <t>Group repo</t>
  </si>
  <si>
    <t>⏳ Not Started</t>
  </si>
  <si>
    <t>✅ Completed</t>
  </si>
  <si>
    <t>Qt Automotive HMI — 10-Day Training Plan</t>
  </si>
  <si>
    <t>Project: Build a Qt application showing real-time car telemetry (speed, RPM, fuel, temperature) using gauges, charts &amp; progress bars</t>
  </si>
  <si>
    <t>Phase</t>
  </si>
  <si>
    <t>Day</t>
  </si>
  <si>
    <t>Module</t>
  </si>
  <si>
    <t>Qt Module</t>
  </si>
  <si>
    <t>Level</t>
  </si>
  <si>
    <t>Subtopics / Concepts</t>
  </si>
  <si>
    <t>Hrs</t>
  </si>
  <si>
    <t>Primary Resource</t>
  </si>
  <si>
    <t>Alternate Resource</t>
  </si>
  <si>
    <t>Qt Creator IDE Navigation</t>
  </si>
  <si>
    <t>Qt Core</t>
  </si>
  <si>
    <t>INTERMEDIATE</t>
  </si>
  <si>
    <t>IDE tour, project explorer, designer mode, kits (MSVC/MinGW), build &amp; run, debugger basics</t>
  </si>
  <si>
    <t>https://www.youtube.com/watch?v=Y1c-ieVO-UY&amp;list=PLS1QulWo1RIZiBcTr5urECberTITj7gjA&amp;index=4</t>
  </si>
  <si>
    <t>Qt Widgets &amp; Layouts</t>
  </si>
  <si>
    <t>Qt Widgets</t>
  </si>
  <si>
    <t>QWidget, QPushButton, QLabel, QProgressBar; QHBoxLayout / QVBoxLayout / QGridLayout, QSplitter, Spacer</t>
  </si>
  <si>
    <t>https://www.youtube.com/watch?v=gWa2rqe8l6E&amp;list=PLS1QulWo1RIZiBcTr5urECberTITj7gjA&amp;index=7</t>
  </si>
  <si>
    <t>Signals &amp; Slots (C++)</t>
  </si>
  <si>
    <t>ADVANCED</t>
  </si>
  <si>
    <t>connect() Qt5/Qt6 syntax, custom signals, custom slots, lambdas, parameterized signals</t>
  </si>
  <si>
    <t>https://www.youtube.com/watch?v=F56fSKoNCtk&amp;list=PLS1QulWo1RIZiBcTr5urECberTITj7gjA&amp;index=5</t>
  </si>
  <si>
    <t>QPainter Custom Drawing</t>
  </si>
  <si>
    <t>Qt GUI</t>
  </si>
  <si>
    <t>QPainter, paintEvent override, drawing primitives (line, arc, ellipse, text), pens/brushes, anti-aliasing, transforms</t>
  </si>
  <si>
    <t>https://doc.qt.io/qt-6/paintsystem.html</t>
  </si>
  <si>
    <t>QTimer &amp; Real-time Updates</t>
  </si>
  <si>
    <t>QTimer (single-shot / interval), driving widget updates, sensor simulation pattern, performance tips</t>
  </si>
  <si>
    <t>https://doc.qt.io/qt-6/timers.html</t>
  </si>
  <si>
    <t>QtCharts (Bar, Line, Pie)</t>
  </si>
  <si>
    <t>Qt Charts</t>
  </si>
  <si>
    <t>QChartView, QLineSeries, QBarSeries, QPieSeries, axes, scrolling line chart for telemetry</t>
  </si>
  <si>
    <t>https://doc.qt.io/qt-6/qtcharts-index.html</t>
  </si>
  <si>
    <t>https://doc.qt.io/qt-6/qtcharts-overview.html</t>
  </si>
  <si>
    <t>Custom Gauge / Speedometer</t>
  </si>
  <si>
    <t>Building a circular speedometer/RPM gauge with QPainter + QTimer, animated needle, redline zone, value-to-angle math</t>
  </si>
  <si>
    <t>https://doc.qt.io/qt-6/qtwidgets-painting-analogclock-example.html</t>
  </si>
  <si>
    <t>https://wiki.qt.io/Custom_Painting</t>
  </si>
  <si>
    <t>File I/O &amp; Data Logging</t>
  </si>
  <si>
    <t>QFile, QTextStream, CSV logging of telemetry, replay from log file, QFileDialog for export</t>
  </si>
  <si>
    <t>https://doc.qt.io/qt-6/qtextstream.html</t>
  </si>
  <si>
    <t>Qt StyleSheets (QSS)</t>
  </si>
  <si>
    <t>QSS syntax, selectors, pseudo-states, applying an automotive dark theme with accent colours</t>
  </si>
  <si>
    <t>https://doc.qt.io/qt-6/stylesheet-examples.html</t>
  </si>
  <si>
    <t>Full HMI Integration</t>
  </si>
  <si>
    <t>All Modules</t>
  </si>
  <si>
    <t>BASIC→MID</t>
  </si>
  <si>
    <t>Combine all topics into a working automotive HMI dashboard: speedometer + RPM gauge + fuel/temp progress bars + speed-history line chart + trip bar chart + data logging + theme</t>
  </si>
  <si>
    <t>Full day</t>
  </si>
  <si>
    <t>https://doc.qt.io/qt-6/qtexamplesandtutorials.html</t>
  </si>
  <si>
    <t>https://wiki.qt.io/Qt_for_Automotive</t>
  </si>
  <si>
    <t>🚗 FINAL DELIVERABLE (Day 10): Automotive HMI Dashboard — speedometer + RPM gauge + fuel/temperature progress bars + speed-history line chart + trip bar chart + CSV data logging + automotive QSS theme  |  Group of 3-4</t>
  </si>
  <si>
    <t>Qt Automotive HMI — Topic-Wise Practice Tasks</t>
  </si>
  <si>
    <t>Each candidate completes the daily task before moving on. Tasks build progressively toward the final HMI dashboard.</t>
  </si>
  <si>
    <t>Sr.No</t>
  </si>
  <si>
    <t>Task Title</t>
  </si>
  <si>
    <t>Task Description</t>
  </si>
  <si>
    <t>Reference</t>
  </si>
  <si>
    <t>HMI Project Skeleton</t>
  </si>
  <si>
    <t>Dashboard Layout Mockup</t>
  </si>
  <si>
    <t>Manual Sensor Simulator</t>
  </si>
  <si>
    <t>Dial Face Widget</t>
  </si>
  <si>
    <t>Live Speed Stream</t>
  </si>
  <si>
    <t>Telemetry Charts</t>
  </si>
  <si>
    <t>Speedometer Widget</t>
  </si>
  <si>
    <t>Telemetry CSV Logger</t>
  </si>
  <si>
    <t>Automotive Dark Theme</t>
  </si>
  <si>
    <t>🚗 Final HMI Dashboard</t>
  </si>
  <si>
    <t>Integrate everything: Speedometer + RPM gauge + Fuel &amp; Temperature QProgressBars + Speed-history line chart + Trip bar chart + CSV logging + automotive QSS theme. Group submission. Live demo on Day 10 afternoon.</t>
  </si>
  <si>
    <t>Qt Learning Material — Reference Resources</t>
  </si>
  <si>
    <t>Resource Name</t>
  </si>
  <si>
    <t>Type</t>
  </si>
  <si>
    <t>Link</t>
  </si>
  <si>
    <t>Qt 6 Official Documentation</t>
  </si>
  <si>
    <t>Documentation</t>
  </si>
  <si>
    <t>https://doc.qt.io/qt-6/</t>
  </si>
  <si>
    <t>Qt Creator Manual</t>
  </si>
  <si>
    <t>https://doc.qt.io/qtcreator/</t>
  </si>
  <si>
    <t>Qt Charts Overview</t>
  </si>
  <si>
    <t>Qt for Automotive (Wiki)</t>
  </si>
  <si>
    <t>Qt Style Sheets Reference</t>
  </si>
  <si>
    <t>https://doc.qt.io/qt-6/stylesheet-reference.html</t>
  </si>
  <si>
    <t>Qt Style Sheet Examples</t>
  </si>
  <si>
    <t>Analog Clock (QPainter Example)</t>
  </si>
  <si>
    <t>Tutorial</t>
  </si>
  <si>
    <t>Qt Charts Examples</t>
  </si>
  <si>
    <t>https://doc.qt.io/qt-6/qtcharts-examples.html</t>
  </si>
  <si>
    <t>ProgrammingKnowledge (YouTube)</t>
  </si>
  <si>
    <t>Video</t>
  </si>
  <si>
    <t>https://www.youtube.com/watch?v=EkjaiDsiM-Q&amp;list=PLS1QulWo1RIZiBcTr5urECberTITj7gjA</t>
  </si>
  <si>
    <t>VoidRealms Qt 6 (YouTube)</t>
  </si>
  <si>
    <t>https://www.youtube.com/watch?v=nscgFv4l53w&amp;list=PLUbFnGajtZlXbrbdlraCe3LMC_YH5abao</t>
  </si>
  <si>
    <t>KDAB (YouTube — pro tips)</t>
  </si>
  <si>
    <t>https://www.youtube.com/watch?v=g7yijWiZTmI&amp;list=PL6CJYn40gN6iFcTyItvnE5nOmJR8qk_7o</t>
  </si>
  <si>
    <t>Qt Forum (Community)</t>
  </si>
  <si>
    <t>Forum</t>
  </si>
  <si>
    <t>https://forum.qt.io/</t>
  </si>
  <si>
    <t>Custom Painting (Qt Wiki)</t>
  </si>
  <si>
    <t>Wiki</t>
  </si>
  <si>
    <t>Activities Planned Under Training</t>
  </si>
  <si>
    <t>Daily Tutorials</t>
  </si>
  <si>
    <t>Qt official docs + curated YouTube videos</t>
  </si>
  <si>
    <t>Topic-wise Practice Tasks</t>
  </si>
  <si>
    <t>One automotive-themed coding task per day (Day 1-9)</t>
  </si>
  <si>
    <t>Day 3 Quiz</t>
  </si>
  <si>
    <t>MCQ on Foundation phase (Qt Creator, Widgets, Signals/Slots)</t>
  </si>
  <si>
    <t>Day 5 Mid Assessment</t>
  </si>
  <si>
    <t>Hands-on coding test — build a working live-updating widget</t>
  </si>
  <si>
    <t>Day 7 Quiz</t>
  </si>
  <si>
    <t>MCQ on Visualization phase (QPainter, QTimer, QtCharts, Gauges)</t>
  </si>
  <si>
    <t>Day 10 Final HMI Project</t>
  </si>
  <si>
    <t>Group of 3-4 — full automotive HMI dashboard</t>
  </si>
  <si>
    <t>Code Review &amp; Demo</t>
  </si>
  <si>
    <t>Peer + mentor review on Day 10</t>
  </si>
  <si>
    <t>🚗 Day 10 Final Project — Automotive HMI Dashboard</t>
  </si>
  <si>
    <t>Group of 3-4 trainees | Build a complete Qt application showing real-time car data using gauges, progress bars and charts | Logged to CSV | Themed with QSS</t>
  </si>
  <si>
    <t>✅ MUST HAVE:  Speedometer  •  RPM gauge  •  Fuel QProgressBar  •  Temperature QProgressBar  •  Speed-history line chart  •  CSV data logging  •  Automotive QSS theme    🌟 BONUS:  Light/Dark toggle  •  Replay from CSV  •  Pie chart (fuel mix)  •  Warning indicators</t>
  </si>
  <si>
    <t>Group</t>
  </si>
  <si>
    <t>Members</t>
  </si>
  <si>
    <t>Variant Focus</t>
  </si>
  <si>
    <t>Description</t>
  </si>
  <si>
    <t>Peer Review</t>
  </si>
  <si>
    <t>Peer Status</t>
  </si>
  <si>
    <t>Final Status</t>
  </si>
  <si>
    <t>GitHub Repo</t>
  </si>
  <si>
    <t>Group 1</t>
  </si>
  <si>
    <t>ICE Vehicle Dashboard</t>
  </si>
  <si>
    <t>Petrol/diesel car: RPM gauge prominent, fuel + engine-temp + oil-pressure indicators, gear position display</t>
  </si>
  <si>
    <t>Group 2</t>
  </si>
  <si>
    <t>EV Dashboard</t>
  </si>
  <si>
    <t>Battery State-of-Charge progress bar, regen-braking indicator, range-remaining label, motor-temp gauge instead of RPM</t>
  </si>
  <si>
    <t>Group 3</t>
  </si>
  <si>
    <t>Hybrid Dashboard</t>
  </si>
  <si>
    <t>Combine ICE + EV: power-flow visualization, mode selector (EV / Hybrid / Sport), separate fuel + battery bars</t>
  </si>
  <si>
    <t>Group 4</t>
  </si>
  <si>
    <t>Performance / Sport</t>
  </si>
  <si>
    <t>Lap-timer, 0-100 km/h tracker, G-force indicator (custom QPainter widget), redline RPM warning</t>
  </si>
  <si>
    <t>Group 5</t>
  </si>
  <si>
    <t>Truck / Heavy-Vehicle</t>
  </si>
  <si>
    <t>Air-pressure gauges, multi-axle temperature monitoring, large readable fonts, payload indicator</t>
  </si>
  <si>
    <t>Group 6</t>
  </si>
  <si>
    <t>Diagnostics (OBD-II style)</t>
  </si>
  <si>
    <t>Live engine RPM, coolant temp, fuel trim, error-code list panel, log-export priority</t>
  </si>
  <si>
    <t>Group 7</t>
  </si>
  <si>
    <t>(open slot)</t>
  </si>
  <si>
    <t>Group selects own automotive variant (subject to mentor approval)</t>
  </si>
  <si>
    <t>Phase 1: Foundation</t>
  </si>
  <si>
    <t>Phase 2: Intermediate Qt</t>
  </si>
  <si>
    <t>Phase 3: Advanced Qt</t>
  </si>
  <si>
    <t>Final Project</t>
  </si>
  <si>
    <t>Week 2</t>
  </si>
  <si>
    <t>Project Planning &amp; Design</t>
  </si>
  <si>
    <t>Implementation</t>
  </si>
  <si>
    <t>Testing &amp; Review</t>
  </si>
  <si>
    <t>Final Demo / Presentation</t>
  </si>
  <si>
    <t>Week 1</t>
  </si>
  <si>
    <t>Full HMI Integration(Project UI)</t>
  </si>
  <si>
    <t>~3 hrs</t>
  </si>
  <si>
    <t>~2 hrs</t>
  </si>
  <si>
    <t>~2.5 hrs</t>
  </si>
  <si>
    <t>~1.5 hrs</t>
  </si>
  <si>
    <t>https://github.com/ManeParag/Qt_Automotive_Training/tree/main/01-qt-creator-ide</t>
  </si>
  <si>
    <t>https://github.com/ManeParag/Qt_Automotive_Training/tree/main/02-qt-widgets-layouts</t>
  </si>
  <si>
    <t>https://github.com/ManeParag/Qt_Automotive_Training/tree/main/03-signals-and-slots</t>
  </si>
  <si>
    <t>https://github.com/ManeParag/Qt_Automotive_Training/tree/main/04-QPainter-Custom-Drawing</t>
  </si>
  <si>
    <t>https://github.com/ManeParag/Qt_Automotive_Training/tree/main/05-QTimer-QThread-Real-time-Updates</t>
  </si>
  <si>
    <t>https://github.com/ManeParag/Qt_Automotive_Training/tree/main/06-File-IO-Data-Logging</t>
  </si>
  <si>
    <t>https://github.com/ManeParag/Qt_Automotive_Training/tree/main/07-Qt-StyleSheets-QSS</t>
  </si>
  <si>
    <t>QtCharts (Bar, Line)</t>
  </si>
  <si>
    <t>https://github.com/ManeParag/Qt_Automotive_Training/tree/main/08-QtCharts</t>
  </si>
  <si>
    <t>https://github.com/ManeParag/Qt_Automotive_Training/tree/main/10-Final-Projects</t>
  </si>
  <si>
    <t>Create a new Qt Widgets application named AutoHMI. Add a QMainWindow or QDialog, build and run the application successfully. Explore Qt Creator sections such as Projects, Edit, Design, and Debug modes. Submit a screenshot of the running empty application window.</t>
  </si>
  <si>
    <t>Design a static automotive dashboard UI using Qt Widgets only. Create left, center, and right panels using QHBoxLayout/QGridLayout. Add placeholder widgets for speedometer, fuel bar, battery level, and chart area. No logic implementation required.</t>
  </si>
  <si>
    <t>Add a QPushButton (Simulate) and QSlider for speed control. Use signals and slots to update a QLabel showing speed value and a QProgressBar representing fuel level whenever the slider value changes.</t>
  </si>
  <si>
    <t>Create a custom QWidget using QPainter to draw a circular speedometer dial. Draw outer arc, tick marks every 20 km/h, speed labels, and enable anti-aliasing. Do not add needle animation yet.</t>
  </si>
  <si>
    <t>Use QTimer to generate simulated speed values every 100 ms. Update speed QLabel and fuel QProgressBar continuously using random or incremental values. Ensure the UI remains smooth and responsive.</t>
  </si>
  <si>
    <t>Log timestamp, speed, fuel level, RPM, and temperature data into a .csv file using QFile and QTextStream. Add buttons for Start Logging, Stop Logging, and Export CSV. Bonus: display saved log data in QTextEdit.</t>
  </si>
  <si>
    <t>Apply a modern automotive dark theme using QSS. Style QLabel, QPushButton, QFrame, and QProgressBar with dark backgrounds, cyan/green highlights, rounded borders, and hover effects. Add styling for warning/redline indicators.</t>
  </si>
  <si>
    <t>Add Qt Charts support using QChartView. Create a QLineSeries showing speed history and a QBarSeries showing fuel consumption or trip statistics. Use static or simulated data for visualization.</t>
  </si>
  <si>
    <t>Create a fully functional custom speedometer widget using QPainter and QTimer. Add rotating needle animation, speed text, redline warning zone above 180 km/h, and dark automotive dashboard styling. Optional: create a second RPM gauge widget.</t>
  </si>
  <si>
    <t>Udem</t>
  </si>
  <si>
    <t>https://www.udemy.com/topic/qt-framework/?srsltid=AfmBOooJtU-UiN7HbloylG4gxqs1o_-RZ67d_TCnNNR279QzbVAUu-Gj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</si>
</sst>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sz val="10"/>
      <color rgb="FFFFFFFF"/>
      <name val="Calibri"/>
      <charset val="1"/>
    </font>
    <font>
      <b/>
      <sz val="20"/>
      <color rgb="FF1B3A6B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1B3A6B"/>
      <name val="Calibri"/>
      <charset val="1"/>
    </font>
    <font>
      <b/>
      <sz val="11"/>
      <color rgb="FFFFFFFF"/>
      <name val="Calibri"/>
      <charset val="1"/>
    </font>
    <font>
      <b/>
      <sz val="11"/>
      <color rgb="FF000000"/>
      <name val="Calibri"/>
      <charset val="1"/>
    </font>
    <font>
      <b/>
      <sz val="9"/>
      <color rgb="FFFFFFFF"/>
      <name val="Calibri"/>
      <charset val="1"/>
    </font>
    <font>
      <b/>
      <sz val="9"/>
      <color rgb="FF000000"/>
      <name val="Calibri"/>
      <charset val="1"/>
    </font>
    <font>
      <sz val="9"/>
      <color rgb="FF000000"/>
      <name val="Calibri"/>
      <charset val="1"/>
    </font>
    <font>
      <b/>
      <sz val="10"/>
      <color rgb="FF000000"/>
      <name val="Calibri"/>
      <charset val="1"/>
    </font>
    <font>
      <sz val="10"/>
      <color rgb="FF0563C1"/>
      <name val="Calibri"/>
      <charset val="1"/>
    </font>
    <font>
      <b/>
      <sz val="12"/>
      <color rgb="FFFFFFFF"/>
      <name val="Calibri"/>
      <charset val="1"/>
    </font>
    <font>
      <b/>
      <sz val="14"/>
      <color rgb="FF000000"/>
      <name val="Calibri"/>
      <charset val="1"/>
    </font>
    <font>
      <b/>
      <sz val="10"/>
      <color rgb="FF7F6000"/>
      <name val="Calibri"/>
      <charset val="1"/>
    </font>
    <font>
      <u/>
      <sz val="11"/>
      <color theme="1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B3A6B"/>
        <bgColor rgb="FF2A3A5A"/>
      </patternFill>
    </fill>
    <fill>
      <patternFill patternType="solid">
        <fgColor rgb="FF1E4D8C"/>
        <bgColor rgb="FF2462A0"/>
      </patternFill>
    </fill>
    <fill>
      <patternFill patternType="solid">
        <fgColor rgb="FF2E6DB4"/>
        <bgColor rgb="FF2462A0"/>
      </patternFill>
    </fill>
    <fill>
      <patternFill patternType="solid">
        <fgColor rgb="FFD9E1F2"/>
        <bgColor rgb="FFBDD7EE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462A0"/>
        <bgColor rgb="FF2E6DB4"/>
      </patternFill>
    </fill>
    <fill>
      <patternFill patternType="solid">
        <fgColor rgb="FFFFC000"/>
        <bgColor rgb="FFFF9900"/>
      </patternFill>
    </fill>
    <fill>
      <patternFill patternType="solid">
        <fgColor rgb="FF2A3A5A"/>
        <bgColor rgb="FF1B3A6B"/>
      </patternFill>
    </fill>
    <fill>
      <patternFill patternType="solid">
        <fgColor rgb="FFFFE699"/>
        <bgColor rgb="FFFFEB9C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rgb="FFFFFFFF"/>
      </patternFill>
    </fill>
    <fill>
      <patternFill patternType="solid">
        <fgColor theme="0" tint="-4.9989318521683403E-2"/>
        <bgColor rgb="FFF2F2F2"/>
      </patternFill>
    </fill>
  </fills>
  <borders count="6">
    <border>
      <left/>
      <right/>
      <top/>
      <bottom/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61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9" fontId="5" fillId="6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9" fontId="5" fillId="7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9" fontId="12" fillId="5" borderId="2" xfId="0" applyNumberFormat="1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indent="1"/>
    </xf>
    <xf numFmtId="0" fontId="17" fillId="6" borderId="2" xfId="1" applyFill="1" applyBorder="1" applyAlignment="1">
      <alignment horizontal="left" vertical="center" wrapText="1"/>
    </xf>
    <xf numFmtId="0" fontId="17" fillId="0" borderId="2" xfId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9" borderId="0" xfId="0" applyFont="1" applyFill="1" applyAlignment="1">
      <alignment horizontal="center" vertical="center"/>
    </xf>
    <xf numFmtId="0" fontId="16" fillId="12" borderId="1" xfId="0" applyFont="1" applyFill="1" applyBorder="1" applyAlignment="1">
      <alignment horizontal="center" vertical="center" wrapText="1"/>
    </xf>
    <xf numFmtId="0" fontId="17" fillId="0" borderId="3" xfId="1" applyFill="1" applyBorder="1" applyAlignment="1">
      <alignment horizontal="left" vertical="top" wrapText="1"/>
    </xf>
    <xf numFmtId="0" fontId="17" fillId="0" borderId="2" xfId="1" applyBorder="1" applyAlignment="1">
      <alignment horizontal="left" vertical="top" wrapText="1"/>
    </xf>
    <xf numFmtId="0" fontId="17" fillId="0" borderId="0" xfId="1" applyFill="1" applyAlignment="1">
      <alignment wrapText="1"/>
    </xf>
    <xf numFmtId="0" fontId="17" fillId="12" borderId="2" xfId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5" fillId="6" borderId="0" xfId="0" applyFont="1" applyFill="1" applyBorder="1" applyAlignment="1">
      <alignment horizontal="left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17" fillId="7" borderId="2" xfId="1" applyFill="1" applyBorder="1" applyAlignment="1">
      <alignment horizontal="left" vertical="center" wrapText="1"/>
    </xf>
    <xf numFmtId="0" fontId="5" fillId="14" borderId="4" xfId="0" applyFont="1" applyFill="1" applyBorder="1" applyAlignment="1">
      <alignment horizontal="left" vertical="center" wrapText="1"/>
    </xf>
    <xf numFmtId="0" fontId="5" fillId="1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0" borderId="4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0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7F6000"/>
      <rgbColor rgb="FF800080"/>
      <rgbColor rgb="FF2462A0"/>
      <rgbColor rgb="FFB4B4B4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9CCFF"/>
      <rgbColor rgb="FFFFC7CE"/>
      <rgbColor rgb="FFCC99FF"/>
      <rgbColor rgb="FFFFD699"/>
      <rgbColor rgb="FF2E6DB4"/>
      <rgbColor rgb="FF33CCCC"/>
      <rgbColor rgb="FF99CC00"/>
      <rgbColor rgb="FFFFC0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1E4D8C"/>
      <rgbColor rgb="FF2A3A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ManeParag/Qt_Automotive_Training/tree/main/08-QtCharts" TargetMode="External"/><Relationship Id="rId3" Type="http://schemas.openxmlformats.org/officeDocument/2006/relationships/hyperlink" Target="https://github.com/ManeParag/Qt_Automotive_Training/tree/main/03-signals-and-slots" TargetMode="External"/><Relationship Id="rId7" Type="http://schemas.openxmlformats.org/officeDocument/2006/relationships/hyperlink" Target="https://github.com/ManeParag/Qt_Automotive_Training/tree/main/07-Qt-StyleSheets-QSS" TargetMode="External"/><Relationship Id="rId2" Type="http://schemas.openxmlformats.org/officeDocument/2006/relationships/hyperlink" Target="https://github.com/ManeParag/Qt_Automotive_Training/tree/main/02-qt-widgets-layouts" TargetMode="External"/><Relationship Id="rId1" Type="http://schemas.openxmlformats.org/officeDocument/2006/relationships/hyperlink" Target="https://github.com/ManeParag/Qt_Automotive_Training/tree/main/01-qt-creator-ide" TargetMode="External"/><Relationship Id="rId6" Type="http://schemas.openxmlformats.org/officeDocument/2006/relationships/hyperlink" Target="https://github.com/ManeParag/Qt_Automotive_Training/tree/main/06-File-IO-Data-Logging" TargetMode="External"/><Relationship Id="rId5" Type="http://schemas.openxmlformats.org/officeDocument/2006/relationships/hyperlink" Target="https://github.com/ManeParag/Qt_Automotive_Training/tree/main/05-QTimer-QThread-Real-time-Updates" TargetMode="External"/><Relationship Id="rId10" Type="http://schemas.openxmlformats.org/officeDocument/2006/relationships/hyperlink" Target="https://github.com/ManeParag/Qt_Automotive_Training/tree/main/10-Final-Projects" TargetMode="External"/><Relationship Id="rId4" Type="http://schemas.openxmlformats.org/officeDocument/2006/relationships/hyperlink" Target="https://github.com/ManeParag/Qt_Automotive_Training/tree/main/04-QPainter-Custom-Drawing" TargetMode="External"/><Relationship Id="rId9" Type="http://schemas.openxmlformats.org/officeDocument/2006/relationships/hyperlink" Target="https://github.com/ManeParag/Qt_Automotive_Training/tree/main/10-Final-Project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EkjaiDsiM-Q&amp;list=PLS1QulWo1RIZiBcTr5urECberTITj7gjA" TargetMode="External"/><Relationship Id="rId2" Type="http://schemas.openxmlformats.org/officeDocument/2006/relationships/hyperlink" Target="https://www.youtube.com/watch?v=g7yijWiZTmI&amp;list=PL6CJYn40gN6iFcTyItvnE5nOmJR8qk_7o" TargetMode="External"/><Relationship Id="rId1" Type="http://schemas.openxmlformats.org/officeDocument/2006/relationships/hyperlink" Target="https://doc.qt.io/qt-6/" TargetMode="External"/><Relationship Id="rId5" Type="http://schemas.openxmlformats.org/officeDocument/2006/relationships/hyperlink" Target="https://www.udemy.com/topic/qt-framework/?srsltid=AfmBOooJtU-UiN7HbloylG4gxqs1o_-RZ67d_TCnNNR279QzbVAUu-Gj" TargetMode="External"/><Relationship Id="rId4" Type="http://schemas.openxmlformats.org/officeDocument/2006/relationships/hyperlink" Target="https://www.youtube.com/watch?v=nscgFv4l53w&amp;list=PLUbFnGajtZlXbrbdlraCe3LMC_YH5ab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defaultColWidth="8.6640625" defaultRowHeight="14.4" x14ac:dyDescent="0.3"/>
  <cols>
    <col min="1" max="1" width="5" customWidth="1"/>
    <col min="2" max="2" width="26" customWidth="1"/>
    <col min="3" max="3" width="16" customWidth="1"/>
    <col min="4" max="6" width="10" customWidth="1"/>
    <col min="7" max="7" width="11" customWidth="1"/>
    <col min="8" max="8" width="22" customWidth="1"/>
  </cols>
  <sheetData>
    <row r="1" spans="1:8" ht="30" customHeight="1" x14ac:dyDescent="0.3">
      <c r="A1" s="30" t="s">
        <v>0</v>
      </c>
      <c r="B1" s="30"/>
      <c r="C1" s="30"/>
      <c r="D1" s="30"/>
      <c r="E1" s="30"/>
      <c r="F1" s="30"/>
      <c r="G1" s="30"/>
      <c r="H1" s="30"/>
    </row>
    <row r="2" spans="1:8" ht="21.75" customHeight="1" x14ac:dyDescent="0.3">
      <c r="A2" s="31" t="s">
        <v>1</v>
      </c>
      <c r="B2" s="31"/>
      <c r="C2" s="31"/>
      <c r="D2" s="31"/>
      <c r="E2" s="31"/>
      <c r="F2" s="31"/>
      <c r="G2" s="31"/>
      <c r="H2" s="31"/>
    </row>
    <row r="3" spans="1:8" ht="24" customHeight="1" x14ac:dyDescent="0.3">
      <c r="A3" s="38" t="s">
        <v>2</v>
      </c>
      <c r="B3" s="38"/>
      <c r="C3" s="38"/>
      <c r="D3" s="38" t="s">
        <v>3</v>
      </c>
      <c r="E3" s="38"/>
      <c r="F3" s="38"/>
      <c r="G3" s="38" t="s">
        <v>4</v>
      </c>
      <c r="H3" s="38"/>
    </row>
    <row r="4" spans="1:8" ht="36" customHeight="1" x14ac:dyDescent="0.3">
      <c r="A4" s="36">
        <f>COUNTA(B7:B31)</f>
        <v>0</v>
      </c>
      <c r="B4" s="36"/>
      <c r="C4" s="36"/>
      <c r="D4" s="36">
        <f>SUMPRODUCT((C7:C31&lt;&gt;"")/COUNTIF(C7:C31,C7:C31&amp;""))</f>
        <v>0</v>
      </c>
      <c r="E4" s="36"/>
      <c r="F4" s="36"/>
      <c r="G4" s="36">
        <v>10</v>
      </c>
      <c r="H4" s="36"/>
    </row>
    <row r="6" spans="1:8" ht="30" customHeight="1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</row>
    <row r="7" spans="1:8" x14ac:dyDescent="0.3">
      <c r="A7" s="2">
        <v>1</v>
      </c>
      <c r="B7" s="3"/>
      <c r="C7" s="2"/>
      <c r="D7" s="4">
        <f>TraineeProgressTracker!R6</f>
        <v>1</v>
      </c>
      <c r="E7" s="4">
        <f>TraineeProgressTracker!S6</f>
        <v>1</v>
      </c>
      <c r="F7" s="4">
        <f>TraineeProgressTracker!T6</f>
        <v>1</v>
      </c>
      <c r="G7" s="4">
        <f>TraineeProgressTracker!V6</f>
        <v>1</v>
      </c>
      <c r="H7" s="2" t="str">
        <f t="shared" ref="H7:H31" si="0">IF(G7=0,"⏳ Not Started",IF(G7&lt;0.5,"🔄 In Progress",IF(G7&lt;1,"📈 Advanced","✅ Completed")))</f>
        <v>✅ Completed</v>
      </c>
    </row>
    <row r="8" spans="1:8" x14ac:dyDescent="0.3">
      <c r="A8" s="5">
        <v>2</v>
      </c>
      <c r="B8" s="6"/>
      <c r="C8" s="5"/>
      <c r="D8" s="7">
        <f>TraineeProgressTracker!R7</f>
        <v>0</v>
      </c>
      <c r="E8" s="7">
        <f>TraineeProgressTracker!S7</f>
        <v>0</v>
      </c>
      <c r="F8" s="7">
        <f>TraineeProgressTracker!T7</f>
        <v>0</v>
      </c>
      <c r="G8" s="7">
        <f>TraineeProgressTracker!V7</f>
        <v>0</v>
      </c>
      <c r="H8" s="5" t="str">
        <f t="shared" si="0"/>
        <v>⏳ Not Started</v>
      </c>
    </row>
    <row r="9" spans="1:8" x14ac:dyDescent="0.3">
      <c r="A9" s="2">
        <v>3</v>
      </c>
      <c r="B9" s="3"/>
      <c r="C9" s="2"/>
      <c r="D9" s="4">
        <f>TraineeProgressTracker!R8</f>
        <v>0</v>
      </c>
      <c r="E9" s="4">
        <f>TraineeProgressTracker!S8</f>
        <v>0</v>
      </c>
      <c r="F9" s="4">
        <f>TraineeProgressTracker!T8</f>
        <v>0</v>
      </c>
      <c r="G9" s="4">
        <f>TraineeProgressTracker!V8</f>
        <v>0</v>
      </c>
      <c r="H9" s="2" t="str">
        <f t="shared" si="0"/>
        <v>⏳ Not Started</v>
      </c>
    </row>
    <row r="10" spans="1:8" x14ac:dyDescent="0.3">
      <c r="A10" s="5">
        <v>4</v>
      </c>
      <c r="B10" s="6"/>
      <c r="C10" s="5"/>
      <c r="D10" s="7">
        <f>TraineeProgressTracker!R9</f>
        <v>0</v>
      </c>
      <c r="E10" s="7">
        <f>TraineeProgressTracker!S9</f>
        <v>0</v>
      </c>
      <c r="F10" s="7">
        <f>TraineeProgressTracker!T9</f>
        <v>0</v>
      </c>
      <c r="G10" s="7">
        <f>TraineeProgressTracker!V9</f>
        <v>0</v>
      </c>
      <c r="H10" s="5" t="str">
        <f t="shared" si="0"/>
        <v>⏳ Not Started</v>
      </c>
    </row>
    <row r="11" spans="1:8" x14ac:dyDescent="0.3">
      <c r="A11" s="2">
        <v>5</v>
      </c>
      <c r="B11" s="3"/>
      <c r="C11" s="2"/>
      <c r="D11" s="4">
        <f>TraineeProgressTracker!R10</f>
        <v>0</v>
      </c>
      <c r="E11" s="4">
        <f>TraineeProgressTracker!S10</f>
        <v>0</v>
      </c>
      <c r="F11" s="4">
        <f>TraineeProgressTracker!T10</f>
        <v>0</v>
      </c>
      <c r="G11" s="4">
        <f>TraineeProgressTracker!V10</f>
        <v>0</v>
      </c>
      <c r="H11" s="2" t="str">
        <f t="shared" si="0"/>
        <v>⏳ Not Started</v>
      </c>
    </row>
    <row r="12" spans="1:8" x14ac:dyDescent="0.3">
      <c r="A12" s="5">
        <v>6</v>
      </c>
      <c r="B12" s="6"/>
      <c r="C12" s="5"/>
      <c r="D12" s="7">
        <f>TraineeProgressTracker!R11</f>
        <v>0</v>
      </c>
      <c r="E12" s="7">
        <f>TraineeProgressTracker!S11</f>
        <v>0</v>
      </c>
      <c r="F12" s="7">
        <f>TraineeProgressTracker!T11</f>
        <v>0</v>
      </c>
      <c r="G12" s="7">
        <f>TraineeProgressTracker!V11</f>
        <v>0</v>
      </c>
      <c r="H12" s="5" t="str">
        <f t="shared" si="0"/>
        <v>⏳ Not Started</v>
      </c>
    </row>
    <row r="13" spans="1:8" x14ac:dyDescent="0.3">
      <c r="A13" s="2">
        <v>7</v>
      </c>
      <c r="B13" s="3"/>
      <c r="C13" s="2"/>
      <c r="D13" s="4">
        <f>TraineeProgressTracker!R12</f>
        <v>0</v>
      </c>
      <c r="E13" s="4">
        <f>TraineeProgressTracker!S12</f>
        <v>0</v>
      </c>
      <c r="F13" s="4">
        <f>TraineeProgressTracker!T12</f>
        <v>0</v>
      </c>
      <c r="G13" s="4">
        <f>TraineeProgressTracker!V12</f>
        <v>0</v>
      </c>
      <c r="H13" s="2" t="str">
        <f t="shared" si="0"/>
        <v>⏳ Not Started</v>
      </c>
    </row>
    <row r="14" spans="1:8" x14ac:dyDescent="0.3">
      <c r="A14" s="5">
        <v>8</v>
      </c>
      <c r="B14" s="6"/>
      <c r="C14" s="5"/>
      <c r="D14" s="7">
        <f>TraineeProgressTracker!R13</f>
        <v>0</v>
      </c>
      <c r="E14" s="7">
        <f>TraineeProgressTracker!S13</f>
        <v>0</v>
      </c>
      <c r="F14" s="7">
        <f>TraineeProgressTracker!T13</f>
        <v>0</v>
      </c>
      <c r="G14" s="7">
        <f>TraineeProgressTracker!V13</f>
        <v>0</v>
      </c>
      <c r="H14" s="5" t="str">
        <f t="shared" si="0"/>
        <v>⏳ Not Started</v>
      </c>
    </row>
    <row r="15" spans="1:8" x14ac:dyDescent="0.3">
      <c r="A15" s="2">
        <v>9</v>
      </c>
      <c r="B15" s="3"/>
      <c r="C15" s="2"/>
      <c r="D15" s="4">
        <f>TraineeProgressTracker!R14</f>
        <v>0</v>
      </c>
      <c r="E15" s="4">
        <f>TraineeProgressTracker!S14</f>
        <v>0</v>
      </c>
      <c r="F15" s="4">
        <f>TraineeProgressTracker!T14</f>
        <v>0</v>
      </c>
      <c r="G15" s="4">
        <f>TraineeProgressTracker!V14</f>
        <v>0</v>
      </c>
      <c r="H15" s="2" t="str">
        <f t="shared" si="0"/>
        <v>⏳ Not Started</v>
      </c>
    </row>
    <row r="16" spans="1:8" x14ac:dyDescent="0.3">
      <c r="A16" s="5">
        <v>10</v>
      </c>
      <c r="B16" s="6"/>
      <c r="C16" s="5"/>
      <c r="D16" s="7">
        <f>TraineeProgressTracker!R15</f>
        <v>0</v>
      </c>
      <c r="E16" s="7">
        <f>TraineeProgressTracker!S15</f>
        <v>0</v>
      </c>
      <c r="F16" s="7">
        <f>TraineeProgressTracker!T15</f>
        <v>0</v>
      </c>
      <c r="G16" s="7">
        <f>TraineeProgressTracker!V15</f>
        <v>0</v>
      </c>
      <c r="H16" s="5" t="str">
        <f t="shared" si="0"/>
        <v>⏳ Not Started</v>
      </c>
    </row>
    <row r="17" spans="1:8" x14ac:dyDescent="0.3">
      <c r="A17" s="2">
        <v>11</v>
      </c>
      <c r="B17" s="3"/>
      <c r="C17" s="2"/>
      <c r="D17" s="4">
        <f>TraineeProgressTracker!R16</f>
        <v>0</v>
      </c>
      <c r="E17" s="4">
        <f>TraineeProgressTracker!S16</f>
        <v>0</v>
      </c>
      <c r="F17" s="4">
        <f>TraineeProgressTracker!T16</f>
        <v>0</v>
      </c>
      <c r="G17" s="4">
        <f>TraineeProgressTracker!V16</f>
        <v>0</v>
      </c>
      <c r="H17" s="2" t="str">
        <f t="shared" si="0"/>
        <v>⏳ Not Started</v>
      </c>
    </row>
    <row r="18" spans="1:8" x14ac:dyDescent="0.3">
      <c r="A18" s="5">
        <v>12</v>
      </c>
      <c r="B18" s="6"/>
      <c r="C18" s="5"/>
      <c r="D18" s="7">
        <f>TraineeProgressTracker!R17</f>
        <v>0</v>
      </c>
      <c r="E18" s="7">
        <f>TraineeProgressTracker!S17</f>
        <v>0</v>
      </c>
      <c r="F18" s="7">
        <f>TraineeProgressTracker!T17</f>
        <v>0</v>
      </c>
      <c r="G18" s="7">
        <f>TraineeProgressTracker!V17</f>
        <v>0</v>
      </c>
      <c r="H18" s="5" t="str">
        <f t="shared" si="0"/>
        <v>⏳ Not Started</v>
      </c>
    </row>
    <row r="19" spans="1:8" x14ac:dyDescent="0.3">
      <c r="A19" s="2">
        <v>13</v>
      </c>
      <c r="B19" s="3"/>
      <c r="C19" s="2"/>
      <c r="D19" s="4">
        <f>TraineeProgressTracker!R18</f>
        <v>0</v>
      </c>
      <c r="E19" s="4">
        <f>TraineeProgressTracker!S18</f>
        <v>0</v>
      </c>
      <c r="F19" s="4">
        <f>TraineeProgressTracker!T18</f>
        <v>0</v>
      </c>
      <c r="G19" s="4">
        <f>TraineeProgressTracker!V18</f>
        <v>0</v>
      </c>
      <c r="H19" s="2" t="str">
        <f t="shared" si="0"/>
        <v>⏳ Not Started</v>
      </c>
    </row>
    <row r="20" spans="1:8" x14ac:dyDescent="0.3">
      <c r="A20" s="5">
        <v>14</v>
      </c>
      <c r="B20" s="6"/>
      <c r="C20" s="5"/>
      <c r="D20" s="7">
        <f>TraineeProgressTracker!R19</f>
        <v>0</v>
      </c>
      <c r="E20" s="7">
        <f>TraineeProgressTracker!S19</f>
        <v>0</v>
      </c>
      <c r="F20" s="7">
        <f>TraineeProgressTracker!T19</f>
        <v>0</v>
      </c>
      <c r="G20" s="7">
        <f>TraineeProgressTracker!V19</f>
        <v>0</v>
      </c>
      <c r="H20" s="5" t="str">
        <f t="shared" si="0"/>
        <v>⏳ Not Started</v>
      </c>
    </row>
    <row r="21" spans="1:8" x14ac:dyDescent="0.3">
      <c r="A21" s="2">
        <v>15</v>
      </c>
      <c r="B21" s="3"/>
      <c r="C21" s="2"/>
      <c r="D21" s="4">
        <f>TraineeProgressTracker!R20</f>
        <v>0</v>
      </c>
      <c r="E21" s="4">
        <f>TraineeProgressTracker!S20</f>
        <v>0</v>
      </c>
      <c r="F21" s="4">
        <f>TraineeProgressTracker!T20</f>
        <v>0</v>
      </c>
      <c r="G21" s="4">
        <f>TraineeProgressTracker!V20</f>
        <v>0</v>
      </c>
      <c r="H21" s="2" t="str">
        <f t="shared" si="0"/>
        <v>⏳ Not Started</v>
      </c>
    </row>
    <row r="22" spans="1:8" x14ac:dyDescent="0.3">
      <c r="A22" s="5">
        <v>16</v>
      </c>
      <c r="B22" s="6"/>
      <c r="C22" s="5"/>
      <c r="D22" s="7">
        <f>TraineeProgressTracker!R21</f>
        <v>0</v>
      </c>
      <c r="E22" s="7">
        <f>TraineeProgressTracker!S21</f>
        <v>0</v>
      </c>
      <c r="F22" s="7">
        <f>TraineeProgressTracker!T21</f>
        <v>0</v>
      </c>
      <c r="G22" s="7">
        <f>TraineeProgressTracker!V21</f>
        <v>0</v>
      </c>
      <c r="H22" s="5" t="str">
        <f t="shared" si="0"/>
        <v>⏳ Not Started</v>
      </c>
    </row>
    <row r="23" spans="1:8" x14ac:dyDescent="0.3">
      <c r="A23" s="2">
        <v>17</v>
      </c>
      <c r="B23" s="3"/>
      <c r="C23" s="2"/>
      <c r="D23" s="4">
        <f>TraineeProgressTracker!R22</f>
        <v>0</v>
      </c>
      <c r="E23" s="4">
        <f>TraineeProgressTracker!S22</f>
        <v>0</v>
      </c>
      <c r="F23" s="4">
        <f>TraineeProgressTracker!T22</f>
        <v>0</v>
      </c>
      <c r="G23" s="4">
        <f>TraineeProgressTracker!V22</f>
        <v>0</v>
      </c>
      <c r="H23" s="2" t="str">
        <f t="shared" si="0"/>
        <v>⏳ Not Started</v>
      </c>
    </row>
    <row r="24" spans="1:8" x14ac:dyDescent="0.3">
      <c r="A24" s="5">
        <v>18</v>
      </c>
      <c r="B24" s="6"/>
      <c r="C24" s="5"/>
      <c r="D24" s="7">
        <f>TraineeProgressTracker!R23</f>
        <v>0</v>
      </c>
      <c r="E24" s="7">
        <f>TraineeProgressTracker!S23</f>
        <v>0</v>
      </c>
      <c r="F24" s="7">
        <f>TraineeProgressTracker!T23</f>
        <v>0</v>
      </c>
      <c r="G24" s="7">
        <f>TraineeProgressTracker!V23</f>
        <v>0</v>
      </c>
      <c r="H24" s="5" t="str">
        <f t="shared" si="0"/>
        <v>⏳ Not Started</v>
      </c>
    </row>
    <row r="25" spans="1:8" x14ac:dyDescent="0.3">
      <c r="A25" s="2">
        <v>19</v>
      </c>
      <c r="B25" s="3"/>
      <c r="C25" s="2"/>
      <c r="D25" s="4">
        <f>TraineeProgressTracker!R24</f>
        <v>0</v>
      </c>
      <c r="E25" s="4">
        <f>TraineeProgressTracker!S24</f>
        <v>0</v>
      </c>
      <c r="F25" s="4">
        <f>TraineeProgressTracker!T24</f>
        <v>0</v>
      </c>
      <c r="G25" s="4">
        <f>TraineeProgressTracker!V24</f>
        <v>0</v>
      </c>
      <c r="H25" s="2" t="str">
        <f t="shared" si="0"/>
        <v>⏳ Not Started</v>
      </c>
    </row>
    <row r="26" spans="1:8" x14ac:dyDescent="0.3">
      <c r="A26" s="5">
        <v>20</v>
      </c>
      <c r="B26" s="6"/>
      <c r="C26" s="5"/>
      <c r="D26" s="7">
        <f>TraineeProgressTracker!R25</f>
        <v>0</v>
      </c>
      <c r="E26" s="7">
        <f>TraineeProgressTracker!S25</f>
        <v>0</v>
      </c>
      <c r="F26" s="7">
        <f>TraineeProgressTracker!T25</f>
        <v>0</v>
      </c>
      <c r="G26" s="7">
        <f>TraineeProgressTracker!V25</f>
        <v>0</v>
      </c>
      <c r="H26" s="5" t="str">
        <f t="shared" si="0"/>
        <v>⏳ Not Started</v>
      </c>
    </row>
    <row r="27" spans="1:8" x14ac:dyDescent="0.3">
      <c r="A27" s="2">
        <v>21</v>
      </c>
      <c r="B27" s="3"/>
      <c r="C27" s="2"/>
      <c r="D27" s="4">
        <f>TraineeProgressTracker!R26</f>
        <v>0</v>
      </c>
      <c r="E27" s="4">
        <f>TraineeProgressTracker!S26</f>
        <v>0</v>
      </c>
      <c r="F27" s="4">
        <f>TraineeProgressTracker!T26</f>
        <v>0</v>
      </c>
      <c r="G27" s="4">
        <f>TraineeProgressTracker!V26</f>
        <v>0</v>
      </c>
      <c r="H27" s="2" t="str">
        <f t="shared" si="0"/>
        <v>⏳ Not Started</v>
      </c>
    </row>
    <row r="28" spans="1:8" x14ac:dyDescent="0.3">
      <c r="A28" s="5">
        <v>22</v>
      </c>
      <c r="B28" s="6"/>
      <c r="C28" s="5"/>
      <c r="D28" s="7">
        <f>TraineeProgressTracker!R27</f>
        <v>0</v>
      </c>
      <c r="E28" s="7">
        <f>TraineeProgressTracker!S27</f>
        <v>0</v>
      </c>
      <c r="F28" s="7">
        <f>TraineeProgressTracker!T27</f>
        <v>0</v>
      </c>
      <c r="G28" s="7">
        <f>TraineeProgressTracker!V27</f>
        <v>0</v>
      </c>
      <c r="H28" s="5" t="str">
        <f t="shared" si="0"/>
        <v>⏳ Not Started</v>
      </c>
    </row>
    <row r="29" spans="1:8" x14ac:dyDescent="0.3">
      <c r="A29" s="2">
        <v>23</v>
      </c>
      <c r="B29" s="3"/>
      <c r="C29" s="2"/>
      <c r="D29" s="4">
        <f>TraineeProgressTracker!R28</f>
        <v>0</v>
      </c>
      <c r="E29" s="4">
        <f>TraineeProgressTracker!S28</f>
        <v>0</v>
      </c>
      <c r="F29" s="4">
        <f>TraineeProgressTracker!T28</f>
        <v>0</v>
      </c>
      <c r="G29" s="4">
        <f>TraineeProgressTracker!V28</f>
        <v>0</v>
      </c>
      <c r="H29" s="2" t="str">
        <f t="shared" si="0"/>
        <v>⏳ Not Started</v>
      </c>
    </row>
    <row r="30" spans="1:8" x14ac:dyDescent="0.3">
      <c r="A30" s="5">
        <v>24</v>
      </c>
      <c r="B30" s="6"/>
      <c r="C30" s="5"/>
      <c r="D30" s="7">
        <f>TraineeProgressTracker!R29</f>
        <v>0</v>
      </c>
      <c r="E30" s="7">
        <f>TraineeProgressTracker!S29</f>
        <v>0</v>
      </c>
      <c r="F30" s="7">
        <f>TraineeProgressTracker!T29</f>
        <v>0</v>
      </c>
      <c r="G30" s="7">
        <f>TraineeProgressTracker!V29</f>
        <v>0</v>
      </c>
      <c r="H30" s="5" t="str">
        <f t="shared" si="0"/>
        <v>⏳ Not Started</v>
      </c>
    </row>
    <row r="31" spans="1:8" x14ac:dyDescent="0.3">
      <c r="A31" s="2">
        <v>25</v>
      </c>
      <c r="B31" s="3"/>
      <c r="C31" s="2"/>
      <c r="D31" s="4">
        <f>TraineeProgressTracker!R30</f>
        <v>0</v>
      </c>
      <c r="E31" s="4">
        <f>TraineeProgressTracker!S30</f>
        <v>0</v>
      </c>
      <c r="F31" s="4">
        <f>TraineeProgressTracker!T30</f>
        <v>0</v>
      </c>
      <c r="G31" s="4">
        <f>TraineeProgressTracker!V30</f>
        <v>0</v>
      </c>
      <c r="H31" s="2" t="str">
        <f t="shared" si="0"/>
        <v>⏳ Not Started</v>
      </c>
    </row>
    <row r="32" spans="1:8" ht="21.75" customHeight="1" x14ac:dyDescent="0.3">
      <c r="A32" s="37" t="s">
        <v>13</v>
      </c>
      <c r="B32" s="37"/>
      <c r="C32" s="37"/>
      <c r="D32" s="37"/>
      <c r="E32" s="37"/>
      <c r="F32" s="37"/>
      <c r="G32" s="37"/>
      <c r="H32" s="37"/>
    </row>
  </sheetData>
  <mergeCells count="9">
    <mergeCell ref="A4:C4"/>
    <mergeCell ref="D4:F4"/>
    <mergeCell ref="G4:H4"/>
    <mergeCell ref="A32:H32"/>
    <mergeCell ref="A1:H1"/>
    <mergeCell ref="A2:H2"/>
    <mergeCell ref="A3:C3"/>
    <mergeCell ref="D3:F3"/>
    <mergeCell ref="G3:H3"/>
  </mergeCells>
  <conditionalFormatting sqref="H7:H31">
    <cfRule type="cellIs" dxfId="9" priority="2" operator="equal">
      <formula>"✅ Completed"</formula>
    </cfRule>
    <cfRule type="cellIs" dxfId="8" priority="3" operator="equal">
      <formula>"📈 Advanced"</formula>
    </cfRule>
    <cfRule type="cellIs" dxfId="7" priority="4" operator="equal">
      <formula>"🔄 In Progress"</formula>
    </cfRule>
    <cfRule type="cellIs" dxfId="6" priority="5" operator="equal">
      <formula>"⏳ Not Started"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0"/>
  <sheetViews>
    <sheetView zoomScale="70" zoomScaleNormal="7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defaultColWidth="8.6640625" defaultRowHeight="14.4" x14ac:dyDescent="0.3"/>
  <cols>
    <col min="1" max="1" width="22" customWidth="1"/>
    <col min="2" max="2" width="14" customWidth="1"/>
    <col min="3" max="16" width="18" customWidth="1"/>
    <col min="17" max="22" width="11" customWidth="1"/>
    <col min="23" max="26" width="32" customWidth="1"/>
  </cols>
  <sheetData>
    <row r="1" spans="1:26" ht="30" customHeight="1" x14ac:dyDescent="0.3">
      <c r="A1" s="30" t="s">
        <v>14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9.5" customHeight="1" x14ac:dyDescent="0.3">
      <c r="A2" s="31" t="s">
        <v>15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27.75" customHeight="1" x14ac:dyDescent="0.3">
      <c r="C3" s="32" t="s">
        <v>185</v>
      </c>
      <c r="D3" s="32"/>
      <c r="E3" s="32"/>
      <c r="F3" s="33" t="s">
        <v>186</v>
      </c>
      <c r="G3" s="33"/>
      <c r="H3" s="33"/>
      <c r="I3" s="33"/>
      <c r="J3" s="34" t="s">
        <v>187</v>
      </c>
      <c r="K3" s="34"/>
      <c r="L3" s="34"/>
      <c r="M3" s="29" t="s">
        <v>188</v>
      </c>
      <c r="N3" s="29"/>
      <c r="O3" s="29"/>
      <c r="P3" s="29"/>
      <c r="Q3" s="35" t="s">
        <v>16</v>
      </c>
      <c r="R3" s="35"/>
      <c r="S3" s="35"/>
      <c r="T3" s="35"/>
      <c r="U3" s="35"/>
      <c r="V3" s="35"/>
      <c r="W3" s="29" t="s">
        <v>17</v>
      </c>
      <c r="X3" s="29"/>
      <c r="Y3" s="29"/>
      <c r="Z3" s="29"/>
    </row>
    <row r="4" spans="1:26" ht="18" customHeight="1" x14ac:dyDescent="0.3">
      <c r="A4" s="8" t="s">
        <v>6</v>
      </c>
      <c r="B4" s="8" t="s">
        <v>7</v>
      </c>
      <c r="C4" s="9" t="s">
        <v>194</v>
      </c>
      <c r="D4" s="9" t="s">
        <v>194</v>
      </c>
      <c r="E4" s="9" t="s">
        <v>194</v>
      </c>
      <c r="F4" s="9" t="s">
        <v>194</v>
      </c>
      <c r="G4" s="9" t="s">
        <v>194</v>
      </c>
      <c r="H4" s="9" t="s">
        <v>194</v>
      </c>
      <c r="I4" s="9" t="s">
        <v>194</v>
      </c>
      <c r="J4" s="9" t="s">
        <v>189</v>
      </c>
      <c r="K4" s="9" t="s">
        <v>189</v>
      </c>
      <c r="L4" s="9" t="s">
        <v>189</v>
      </c>
      <c r="M4" s="9" t="s">
        <v>189</v>
      </c>
      <c r="N4" s="9" t="s">
        <v>189</v>
      </c>
      <c r="O4" s="9" t="s">
        <v>189</v>
      </c>
      <c r="P4" s="9" t="s">
        <v>189</v>
      </c>
      <c r="Q4" s="9"/>
      <c r="R4" s="9" t="s">
        <v>28</v>
      </c>
      <c r="S4" s="9" t="s">
        <v>29</v>
      </c>
      <c r="T4" s="9" t="s">
        <v>30</v>
      </c>
      <c r="U4" s="9" t="s">
        <v>188</v>
      </c>
      <c r="V4" s="9" t="s">
        <v>31</v>
      </c>
      <c r="W4" s="9" t="s">
        <v>28</v>
      </c>
      <c r="X4" s="9" t="s">
        <v>29</v>
      </c>
      <c r="Y4" s="9" t="s">
        <v>30</v>
      </c>
      <c r="Z4" s="9" t="s">
        <v>32</v>
      </c>
    </row>
    <row r="5" spans="1:26" ht="49.5" customHeight="1" x14ac:dyDescent="0.3">
      <c r="C5" s="10" t="s">
        <v>48</v>
      </c>
      <c r="D5" s="10" t="s">
        <v>53</v>
      </c>
      <c r="E5" s="10" t="s">
        <v>57</v>
      </c>
      <c r="F5" s="10" t="s">
        <v>61</v>
      </c>
      <c r="G5" s="10" t="s">
        <v>65</v>
      </c>
      <c r="H5" s="10" t="s">
        <v>77</v>
      </c>
      <c r="I5" s="10" t="s">
        <v>80</v>
      </c>
      <c r="J5" s="10" t="s">
        <v>68</v>
      </c>
      <c r="K5" s="10" t="s">
        <v>73</v>
      </c>
      <c r="L5" s="10" t="s">
        <v>195</v>
      </c>
      <c r="M5" s="11" t="s">
        <v>190</v>
      </c>
      <c r="N5" s="11" t="s">
        <v>191</v>
      </c>
      <c r="O5" s="11" t="s">
        <v>192</v>
      </c>
      <c r="P5" s="11" t="s">
        <v>193</v>
      </c>
      <c r="Q5" s="6"/>
      <c r="R5" s="6"/>
      <c r="S5" s="6"/>
      <c r="T5" s="6"/>
      <c r="U5" s="6"/>
      <c r="V5" s="6"/>
      <c r="W5" s="11" t="s">
        <v>33</v>
      </c>
      <c r="X5" s="11" t="s">
        <v>33</v>
      </c>
      <c r="Y5" s="11" t="s">
        <v>33</v>
      </c>
      <c r="Z5" s="11" t="s">
        <v>34</v>
      </c>
    </row>
    <row r="6" spans="1:26" x14ac:dyDescent="0.3">
      <c r="A6" s="3"/>
      <c r="B6" s="3"/>
      <c r="C6" s="12" t="s">
        <v>36</v>
      </c>
      <c r="D6" s="12" t="s">
        <v>36</v>
      </c>
      <c r="E6" s="12" t="s">
        <v>36</v>
      </c>
      <c r="F6" s="12" t="s">
        <v>36</v>
      </c>
      <c r="G6" s="12" t="s">
        <v>36</v>
      </c>
      <c r="H6" s="12" t="s">
        <v>36</v>
      </c>
      <c r="I6" s="12" t="s">
        <v>36</v>
      </c>
      <c r="J6" s="12" t="s">
        <v>36</v>
      </c>
      <c r="K6" s="12" t="s">
        <v>36</v>
      </c>
      <c r="L6" s="12" t="s">
        <v>36</v>
      </c>
      <c r="M6" s="12" t="s">
        <v>36</v>
      </c>
      <c r="N6" s="12" t="s">
        <v>36</v>
      </c>
      <c r="O6" s="12" t="s">
        <v>36</v>
      </c>
      <c r="P6" s="12" t="s">
        <v>36</v>
      </c>
      <c r="Q6" s="13">
        <f t="shared" ref="Q6:Q30" si="0">COUNTIF(C6:L6,"✅ Completed")</f>
        <v>10</v>
      </c>
      <c r="R6" s="14">
        <f t="shared" ref="R6:R30" si="1">COUNTIF(C6:E6,"✅ Completed")/3</f>
        <v>1</v>
      </c>
      <c r="S6" s="14">
        <f t="shared" ref="S6:S30" si="2">COUNTIF(F6:I6,"✅ Completed")/4</f>
        <v>1</v>
      </c>
      <c r="T6" s="14">
        <f t="shared" ref="T6:T30" si="3">COUNTIF(J6:L6,"✅ Completed")/3</f>
        <v>1</v>
      </c>
      <c r="U6" s="14">
        <f>COUNTIF(M6:P6,"✅ Completed")/4</f>
        <v>1</v>
      </c>
      <c r="V6" s="14">
        <f t="shared" ref="V6:V30" si="4">Q6/10</f>
        <v>1</v>
      </c>
      <c r="W6" s="15"/>
      <c r="X6" s="15"/>
      <c r="Y6" s="15"/>
      <c r="Z6" s="15"/>
    </row>
    <row r="7" spans="1:26" x14ac:dyDescent="0.3">
      <c r="A7" s="6"/>
      <c r="B7" s="6"/>
      <c r="C7" s="16" t="s">
        <v>35</v>
      </c>
      <c r="D7" s="16" t="s">
        <v>35</v>
      </c>
      <c r="E7" s="16" t="s">
        <v>35</v>
      </c>
      <c r="F7" s="16" t="s">
        <v>35</v>
      </c>
      <c r="G7" s="16" t="s">
        <v>35</v>
      </c>
      <c r="H7" s="16" t="s">
        <v>35</v>
      </c>
      <c r="I7" s="16" t="s">
        <v>35</v>
      </c>
      <c r="J7" s="16" t="s">
        <v>35</v>
      </c>
      <c r="K7" s="16" t="s">
        <v>35</v>
      </c>
      <c r="L7" s="16" t="s">
        <v>35</v>
      </c>
      <c r="M7" s="16" t="s">
        <v>35</v>
      </c>
      <c r="N7" s="16" t="s">
        <v>35</v>
      </c>
      <c r="O7" s="16" t="s">
        <v>35</v>
      </c>
      <c r="P7" s="16" t="s">
        <v>35</v>
      </c>
      <c r="Q7" s="13">
        <f t="shared" si="0"/>
        <v>0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ref="U7:U30" si="5">COUNTIF(M7:P7,"✅ Completed")/4</f>
        <v>0</v>
      </c>
      <c r="V7" s="14">
        <f t="shared" si="4"/>
        <v>0</v>
      </c>
      <c r="W7" s="17"/>
      <c r="X7" s="17"/>
      <c r="Y7" s="17"/>
      <c r="Z7" s="17"/>
    </row>
    <row r="8" spans="1:26" x14ac:dyDescent="0.3">
      <c r="A8" s="3"/>
      <c r="B8" s="3"/>
      <c r="C8" s="12" t="s">
        <v>35</v>
      </c>
      <c r="D8" s="12" t="s">
        <v>35</v>
      </c>
      <c r="E8" s="12" t="s">
        <v>35</v>
      </c>
      <c r="F8" s="12" t="s">
        <v>35</v>
      </c>
      <c r="G8" s="12" t="s">
        <v>35</v>
      </c>
      <c r="H8" s="12" t="s">
        <v>35</v>
      </c>
      <c r="I8" s="12" t="s">
        <v>35</v>
      </c>
      <c r="J8" s="12" t="s">
        <v>35</v>
      </c>
      <c r="K8" s="12" t="s">
        <v>35</v>
      </c>
      <c r="L8" s="12" t="s">
        <v>35</v>
      </c>
      <c r="M8" s="12" t="s">
        <v>35</v>
      </c>
      <c r="N8" s="12" t="s">
        <v>35</v>
      </c>
      <c r="O8" s="12" t="s">
        <v>35</v>
      </c>
      <c r="P8" s="12" t="s">
        <v>35</v>
      </c>
      <c r="Q8" s="13">
        <f t="shared" si="0"/>
        <v>0</v>
      </c>
      <c r="R8" s="14">
        <f t="shared" si="1"/>
        <v>0</v>
      </c>
      <c r="S8" s="14">
        <f t="shared" si="2"/>
        <v>0</v>
      </c>
      <c r="T8" s="14">
        <f t="shared" si="3"/>
        <v>0</v>
      </c>
      <c r="U8" s="14">
        <f t="shared" si="5"/>
        <v>0</v>
      </c>
      <c r="V8" s="14">
        <f t="shared" si="4"/>
        <v>0</v>
      </c>
      <c r="W8" s="15"/>
      <c r="X8" s="15"/>
      <c r="Y8" s="15"/>
      <c r="Z8" s="15"/>
    </row>
    <row r="9" spans="1:26" x14ac:dyDescent="0.3">
      <c r="A9" s="6"/>
      <c r="B9" s="6"/>
      <c r="C9" s="16" t="s">
        <v>35</v>
      </c>
      <c r="D9" s="16" t="s">
        <v>35</v>
      </c>
      <c r="E9" s="16" t="s">
        <v>35</v>
      </c>
      <c r="F9" s="16" t="s">
        <v>35</v>
      </c>
      <c r="G9" s="16" t="s">
        <v>35</v>
      </c>
      <c r="H9" s="16" t="s">
        <v>35</v>
      </c>
      <c r="I9" s="16" t="s">
        <v>35</v>
      </c>
      <c r="J9" s="16" t="s">
        <v>35</v>
      </c>
      <c r="K9" s="16" t="s">
        <v>35</v>
      </c>
      <c r="L9" s="16" t="s">
        <v>35</v>
      </c>
      <c r="M9" s="16" t="s">
        <v>35</v>
      </c>
      <c r="N9" s="16" t="s">
        <v>35</v>
      </c>
      <c r="O9" s="16" t="s">
        <v>35</v>
      </c>
      <c r="P9" s="16" t="s">
        <v>35</v>
      </c>
      <c r="Q9" s="13">
        <f t="shared" si="0"/>
        <v>0</v>
      </c>
      <c r="R9" s="14">
        <f t="shared" si="1"/>
        <v>0</v>
      </c>
      <c r="S9" s="14">
        <f t="shared" si="2"/>
        <v>0</v>
      </c>
      <c r="T9" s="14">
        <f t="shared" si="3"/>
        <v>0</v>
      </c>
      <c r="U9" s="14">
        <f t="shared" si="5"/>
        <v>0</v>
      </c>
      <c r="V9" s="14">
        <f t="shared" si="4"/>
        <v>0</v>
      </c>
      <c r="W9" s="17"/>
      <c r="X9" s="17"/>
      <c r="Y9" s="17"/>
      <c r="Z9" s="17"/>
    </row>
    <row r="10" spans="1:26" x14ac:dyDescent="0.3">
      <c r="A10" s="3"/>
      <c r="B10" s="3"/>
      <c r="C10" s="12" t="s">
        <v>35</v>
      </c>
      <c r="D10" s="12" t="s">
        <v>35</v>
      </c>
      <c r="E10" s="12" t="s">
        <v>35</v>
      </c>
      <c r="F10" s="12" t="s">
        <v>35</v>
      </c>
      <c r="G10" s="12" t="s">
        <v>35</v>
      </c>
      <c r="H10" s="12" t="s">
        <v>35</v>
      </c>
      <c r="I10" s="12" t="s">
        <v>35</v>
      </c>
      <c r="J10" s="12" t="s">
        <v>35</v>
      </c>
      <c r="K10" s="12" t="s">
        <v>35</v>
      </c>
      <c r="L10" s="12" t="s">
        <v>35</v>
      </c>
      <c r="M10" s="12" t="s">
        <v>35</v>
      </c>
      <c r="N10" s="12" t="s">
        <v>35</v>
      </c>
      <c r="O10" s="12" t="s">
        <v>35</v>
      </c>
      <c r="P10" s="12" t="s">
        <v>35</v>
      </c>
      <c r="Q10" s="13">
        <f t="shared" si="0"/>
        <v>0</v>
      </c>
      <c r="R10" s="14">
        <f t="shared" si="1"/>
        <v>0</v>
      </c>
      <c r="S10" s="14">
        <f t="shared" si="2"/>
        <v>0</v>
      </c>
      <c r="T10" s="14">
        <f t="shared" si="3"/>
        <v>0</v>
      </c>
      <c r="U10" s="14">
        <f t="shared" si="5"/>
        <v>0</v>
      </c>
      <c r="V10" s="14">
        <f t="shared" si="4"/>
        <v>0</v>
      </c>
      <c r="W10" s="15"/>
      <c r="X10" s="15"/>
      <c r="Y10" s="15"/>
      <c r="Z10" s="15"/>
    </row>
    <row r="11" spans="1:26" x14ac:dyDescent="0.3">
      <c r="A11" s="6"/>
      <c r="B11" s="6"/>
      <c r="C11" s="16" t="s">
        <v>35</v>
      </c>
      <c r="D11" s="16" t="s">
        <v>35</v>
      </c>
      <c r="E11" s="16" t="s">
        <v>35</v>
      </c>
      <c r="F11" s="16" t="s">
        <v>35</v>
      </c>
      <c r="G11" s="16" t="s">
        <v>35</v>
      </c>
      <c r="H11" s="16" t="s">
        <v>35</v>
      </c>
      <c r="I11" s="16" t="s">
        <v>35</v>
      </c>
      <c r="J11" s="16" t="s">
        <v>35</v>
      </c>
      <c r="K11" s="16" t="s">
        <v>35</v>
      </c>
      <c r="L11" s="16" t="s">
        <v>35</v>
      </c>
      <c r="M11" s="16" t="s">
        <v>35</v>
      </c>
      <c r="N11" s="16" t="s">
        <v>35</v>
      </c>
      <c r="O11" s="16" t="s">
        <v>35</v>
      </c>
      <c r="P11" s="16" t="s">
        <v>35</v>
      </c>
      <c r="Q11" s="13">
        <f t="shared" si="0"/>
        <v>0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4">
        <f t="shared" si="5"/>
        <v>0</v>
      </c>
      <c r="V11" s="14">
        <f t="shared" si="4"/>
        <v>0</v>
      </c>
      <c r="W11" s="17"/>
      <c r="X11" s="17"/>
      <c r="Y11" s="17"/>
      <c r="Z11" s="17"/>
    </row>
    <row r="12" spans="1:26" x14ac:dyDescent="0.3">
      <c r="A12" s="3"/>
      <c r="B12" s="3"/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3">
        <f t="shared" si="0"/>
        <v>0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5"/>
        <v>0</v>
      </c>
      <c r="V12" s="14">
        <f t="shared" si="4"/>
        <v>0</v>
      </c>
      <c r="W12" s="15"/>
      <c r="X12" s="15"/>
      <c r="Y12" s="15"/>
      <c r="Z12" s="15"/>
    </row>
    <row r="13" spans="1:26" x14ac:dyDescent="0.3">
      <c r="A13" s="6"/>
      <c r="B13" s="6"/>
      <c r="C13" s="16" t="s">
        <v>35</v>
      </c>
      <c r="D13" s="16" t="s">
        <v>35</v>
      </c>
      <c r="E13" s="16" t="s">
        <v>35</v>
      </c>
      <c r="F13" s="16" t="s">
        <v>35</v>
      </c>
      <c r="G13" s="16" t="s">
        <v>35</v>
      </c>
      <c r="H13" s="16" t="s">
        <v>35</v>
      </c>
      <c r="I13" s="16" t="s">
        <v>35</v>
      </c>
      <c r="J13" s="16" t="s">
        <v>35</v>
      </c>
      <c r="K13" s="16" t="s">
        <v>35</v>
      </c>
      <c r="L13" s="16" t="s">
        <v>35</v>
      </c>
      <c r="M13" s="16" t="s">
        <v>35</v>
      </c>
      <c r="N13" s="16" t="s">
        <v>35</v>
      </c>
      <c r="O13" s="16" t="s">
        <v>35</v>
      </c>
      <c r="P13" s="16" t="s">
        <v>35</v>
      </c>
      <c r="Q13" s="13">
        <f t="shared" si="0"/>
        <v>0</v>
      </c>
      <c r="R13" s="14">
        <f t="shared" si="1"/>
        <v>0</v>
      </c>
      <c r="S13" s="14">
        <f t="shared" si="2"/>
        <v>0</v>
      </c>
      <c r="T13" s="14">
        <f t="shared" si="3"/>
        <v>0</v>
      </c>
      <c r="U13" s="14">
        <f t="shared" si="5"/>
        <v>0</v>
      </c>
      <c r="V13" s="14">
        <f t="shared" si="4"/>
        <v>0</v>
      </c>
      <c r="W13" s="17"/>
      <c r="X13" s="17"/>
      <c r="Y13" s="17"/>
      <c r="Z13" s="17"/>
    </row>
    <row r="14" spans="1:26" x14ac:dyDescent="0.3">
      <c r="A14" s="3"/>
      <c r="B14" s="3"/>
      <c r="C14" s="12" t="s">
        <v>35</v>
      </c>
      <c r="D14" s="12" t="s">
        <v>35</v>
      </c>
      <c r="E14" s="12" t="s">
        <v>35</v>
      </c>
      <c r="F14" s="12" t="s">
        <v>35</v>
      </c>
      <c r="G14" s="12" t="s">
        <v>35</v>
      </c>
      <c r="H14" s="12" t="s">
        <v>35</v>
      </c>
      <c r="I14" s="12" t="s">
        <v>35</v>
      </c>
      <c r="J14" s="12" t="s">
        <v>35</v>
      </c>
      <c r="K14" s="12" t="s">
        <v>35</v>
      </c>
      <c r="L14" s="12" t="s">
        <v>35</v>
      </c>
      <c r="M14" s="12" t="s">
        <v>35</v>
      </c>
      <c r="N14" s="12" t="s">
        <v>35</v>
      </c>
      <c r="O14" s="12" t="s">
        <v>35</v>
      </c>
      <c r="P14" s="12" t="s">
        <v>35</v>
      </c>
      <c r="Q14" s="13">
        <f t="shared" si="0"/>
        <v>0</v>
      </c>
      <c r="R14" s="14">
        <f t="shared" si="1"/>
        <v>0</v>
      </c>
      <c r="S14" s="14">
        <f t="shared" si="2"/>
        <v>0</v>
      </c>
      <c r="T14" s="14">
        <f t="shared" si="3"/>
        <v>0</v>
      </c>
      <c r="U14" s="14">
        <f t="shared" si="5"/>
        <v>0</v>
      </c>
      <c r="V14" s="14">
        <f t="shared" si="4"/>
        <v>0</v>
      </c>
      <c r="W14" s="15"/>
      <c r="X14" s="15"/>
      <c r="Y14" s="15"/>
      <c r="Z14" s="15"/>
    </row>
    <row r="15" spans="1:26" x14ac:dyDescent="0.3">
      <c r="A15" s="6"/>
      <c r="B15" s="6"/>
      <c r="C15" s="16" t="s">
        <v>35</v>
      </c>
      <c r="D15" s="16" t="s">
        <v>35</v>
      </c>
      <c r="E15" s="16" t="s">
        <v>35</v>
      </c>
      <c r="F15" s="16" t="s">
        <v>35</v>
      </c>
      <c r="G15" s="16" t="s">
        <v>35</v>
      </c>
      <c r="H15" s="16" t="s">
        <v>35</v>
      </c>
      <c r="I15" s="16" t="s">
        <v>35</v>
      </c>
      <c r="J15" s="16" t="s">
        <v>35</v>
      </c>
      <c r="K15" s="16" t="s">
        <v>35</v>
      </c>
      <c r="L15" s="16" t="s">
        <v>35</v>
      </c>
      <c r="M15" s="16" t="s">
        <v>35</v>
      </c>
      <c r="N15" s="16" t="s">
        <v>35</v>
      </c>
      <c r="O15" s="16" t="s">
        <v>35</v>
      </c>
      <c r="P15" s="16" t="s">
        <v>35</v>
      </c>
      <c r="Q15" s="13">
        <f t="shared" si="0"/>
        <v>0</v>
      </c>
      <c r="R15" s="14">
        <f t="shared" si="1"/>
        <v>0</v>
      </c>
      <c r="S15" s="14">
        <f t="shared" si="2"/>
        <v>0</v>
      </c>
      <c r="T15" s="14">
        <f t="shared" si="3"/>
        <v>0</v>
      </c>
      <c r="U15" s="14">
        <f t="shared" si="5"/>
        <v>0</v>
      </c>
      <c r="V15" s="14">
        <f t="shared" si="4"/>
        <v>0</v>
      </c>
      <c r="W15" s="17"/>
      <c r="X15" s="17"/>
      <c r="Y15" s="17"/>
      <c r="Z15" s="17"/>
    </row>
    <row r="16" spans="1:26" x14ac:dyDescent="0.3">
      <c r="A16" s="3"/>
      <c r="B16" s="3"/>
      <c r="C16" s="12" t="s">
        <v>35</v>
      </c>
      <c r="D16" s="12" t="s">
        <v>35</v>
      </c>
      <c r="E16" s="12" t="s">
        <v>35</v>
      </c>
      <c r="F16" s="12" t="s">
        <v>35</v>
      </c>
      <c r="G16" s="12" t="s">
        <v>35</v>
      </c>
      <c r="H16" s="12" t="s">
        <v>35</v>
      </c>
      <c r="I16" s="12" t="s">
        <v>35</v>
      </c>
      <c r="J16" s="12" t="s">
        <v>35</v>
      </c>
      <c r="K16" s="12" t="s">
        <v>35</v>
      </c>
      <c r="L16" s="12" t="s">
        <v>35</v>
      </c>
      <c r="M16" s="12" t="s">
        <v>35</v>
      </c>
      <c r="N16" s="12" t="s">
        <v>35</v>
      </c>
      <c r="O16" s="12" t="s">
        <v>35</v>
      </c>
      <c r="P16" s="12" t="s">
        <v>35</v>
      </c>
      <c r="Q16" s="13">
        <f t="shared" si="0"/>
        <v>0</v>
      </c>
      <c r="R16" s="14">
        <f t="shared" si="1"/>
        <v>0</v>
      </c>
      <c r="S16" s="14">
        <f t="shared" si="2"/>
        <v>0</v>
      </c>
      <c r="T16" s="14">
        <f t="shared" si="3"/>
        <v>0</v>
      </c>
      <c r="U16" s="14">
        <f t="shared" si="5"/>
        <v>0</v>
      </c>
      <c r="V16" s="14">
        <f t="shared" si="4"/>
        <v>0</v>
      </c>
      <c r="W16" s="15"/>
      <c r="X16" s="15"/>
      <c r="Y16" s="15"/>
      <c r="Z16" s="15"/>
    </row>
    <row r="17" spans="1:26" x14ac:dyDescent="0.3">
      <c r="A17" s="6"/>
      <c r="B17" s="6"/>
      <c r="C17" s="16" t="s">
        <v>35</v>
      </c>
      <c r="D17" s="16" t="s">
        <v>35</v>
      </c>
      <c r="E17" s="16" t="s">
        <v>35</v>
      </c>
      <c r="F17" s="16" t="s">
        <v>35</v>
      </c>
      <c r="G17" s="16" t="s">
        <v>35</v>
      </c>
      <c r="H17" s="16" t="s">
        <v>35</v>
      </c>
      <c r="I17" s="16" t="s">
        <v>35</v>
      </c>
      <c r="J17" s="16" t="s">
        <v>35</v>
      </c>
      <c r="K17" s="16" t="s">
        <v>35</v>
      </c>
      <c r="L17" s="16" t="s">
        <v>35</v>
      </c>
      <c r="M17" s="16" t="s">
        <v>35</v>
      </c>
      <c r="N17" s="16" t="s">
        <v>35</v>
      </c>
      <c r="O17" s="16" t="s">
        <v>35</v>
      </c>
      <c r="P17" s="16" t="s">
        <v>35</v>
      </c>
      <c r="Q17" s="13">
        <f t="shared" si="0"/>
        <v>0</v>
      </c>
      <c r="R17" s="14">
        <f t="shared" si="1"/>
        <v>0</v>
      </c>
      <c r="S17" s="14">
        <f t="shared" si="2"/>
        <v>0</v>
      </c>
      <c r="T17" s="14">
        <f t="shared" si="3"/>
        <v>0</v>
      </c>
      <c r="U17" s="14">
        <f t="shared" si="5"/>
        <v>0</v>
      </c>
      <c r="V17" s="14">
        <f t="shared" si="4"/>
        <v>0</v>
      </c>
      <c r="W17" s="17"/>
      <c r="X17" s="17"/>
      <c r="Y17" s="17"/>
      <c r="Z17" s="17"/>
    </row>
    <row r="18" spans="1:26" x14ac:dyDescent="0.3">
      <c r="A18" s="3"/>
      <c r="B18" s="3"/>
      <c r="C18" s="12" t="s">
        <v>35</v>
      </c>
      <c r="D18" s="12" t="s">
        <v>35</v>
      </c>
      <c r="E18" s="12" t="s">
        <v>35</v>
      </c>
      <c r="F18" s="12" t="s">
        <v>35</v>
      </c>
      <c r="G18" s="12" t="s">
        <v>35</v>
      </c>
      <c r="H18" s="12" t="s">
        <v>35</v>
      </c>
      <c r="I18" s="12" t="s">
        <v>35</v>
      </c>
      <c r="J18" s="12" t="s">
        <v>35</v>
      </c>
      <c r="K18" s="12" t="s">
        <v>35</v>
      </c>
      <c r="L18" s="12" t="s">
        <v>35</v>
      </c>
      <c r="M18" s="12" t="s">
        <v>35</v>
      </c>
      <c r="N18" s="12" t="s">
        <v>35</v>
      </c>
      <c r="O18" s="12" t="s">
        <v>35</v>
      </c>
      <c r="P18" s="12" t="s">
        <v>35</v>
      </c>
      <c r="Q18" s="13">
        <f t="shared" si="0"/>
        <v>0</v>
      </c>
      <c r="R18" s="14">
        <f t="shared" si="1"/>
        <v>0</v>
      </c>
      <c r="S18" s="14">
        <f t="shared" si="2"/>
        <v>0</v>
      </c>
      <c r="T18" s="14">
        <f t="shared" si="3"/>
        <v>0</v>
      </c>
      <c r="U18" s="14">
        <f t="shared" si="5"/>
        <v>0</v>
      </c>
      <c r="V18" s="14">
        <f t="shared" si="4"/>
        <v>0</v>
      </c>
      <c r="W18" s="15"/>
      <c r="X18" s="15"/>
      <c r="Y18" s="15"/>
      <c r="Z18" s="15"/>
    </row>
    <row r="19" spans="1:26" x14ac:dyDescent="0.3">
      <c r="A19" s="6"/>
      <c r="B19" s="6"/>
      <c r="C19" s="16" t="s">
        <v>35</v>
      </c>
      <c r="D19" s="16" t="s">
        <v>35</v>
      </c>
      <c r="E19" s="16" t="s">
        <v>35</v>
      </c>
      <c r="F19" s="16" t="s">
        <v>35</v>
      </c>
      <c r="G19" s="16" t="s">
        <v>35</v>
      </c>
      <c r="H19" s="16" t="s">
        <v>35</v>
      </c>
      <c r="I19" s="16" t="s">
        <v>35</v>
      </c>
      <c r="J19" s="16" t="s">
        <v>35</v>
      </c>
      <c r="K19" s="16" t="s">
        <v>35</v>
      </c>
      <c r="L19" s="16" t="s">
        <v>35</v>
      </c>
      <c r="M19" s="16" t="s">
        <v>35</v>
      </c>
      <c r="N19" s="16" t="s">
        <v>35</v>
      </c>
      <c r="O19" s="16" t="s">
        <v>35</v>
      </c>
      <c r="P19" s="16" t="s">
        <v>35</v>
      </c>
      <c r="Q19" s="13">
        <f t="shared" si="0"/>
        <v>0</v>
      </c>
      <c r="R19" s="14">
        <f t="shared" si="1"/>
        <v>0</v>
      </c>
      <c r="S19" s="14">
        <f t="shared" si="2"/>
        <v>0</v>
      </c>
      <c r="T19" s="14">
        <f t="shared" si="3"/>
        <v>0</v>
      </c>
      <c r="U19" s="14">
        <f t="shared" si="5"/>
        <v>0</v>
      </c>
      <c r="V19" s="14">
        <f t="shared" si="4"/>
        <v>0</v>
      </c>
      <c r="W19" s="17"/>
      <c r="X19" s="17"/>
      <c r="Y19" s="17"/>
      <c r="Z19" s="17"/>
    </row>
    <row r="20" spans="1:26" x14ac:dyDescent="0.3">
      <c r="A20" s="3"/>
      <c r="B20" s="3"/>
      <c r="C20" s="12" t="s">
        <v>35</v>
      </c>
      <c r="D20" s="12" t="s">
        <v>35</v>
      </c>
      <c r="E20" s="12" t="s">
        <v>35</v>
      </c>
      <c r="F20" s="12" t="s">
        <v>35</v>
      </c>
      <c r="G20" s="12" t="s">
        <v>35</v>
      </c>
      <c r="H20" s="12" t="s">
        <v>35</v>
      </c>
      <c r="I20" s="12" t="s">
        <v>35</v>
      </c>
      <c r="J20" s="12" t="s">
        <v>35</v>
      </c>
      <c r="K20" s="12" t="s">
        <v>35</v>
      </c>
      <c r="L20" s="12" t="s">
        <v>35</v>
      </c>
      <c r="M20" s="12" t="s">
        <v>35</v>
      </c>
      <c r="N20" s="12" t="s">
        <v>35</v>
      </c>
      <c r="O20" s="12" t="s">
        <v>35</v>
      </c>
      <c r="P20" s="12" t="s">
        <v>35</v>
      </c>
      <c r="Q20" s="13">
        <f t="shared" si="0"/>
        <v>0</v>
      </c>
      <c r="R20" s="14">
        <f t="shared" si="1"/>
        <v>0</v>
      </c>
      <c r="S20" s="14">
        <f t="shared" si="2"/>
        <v>0</v>
      </c>
      <c r="T20" s="14">
        <f t="shared" si="3"/>
        <v>0</v>
      </c>
      <c r="U20" s="14">
        <f t="shared" si="5"/>
        <v>0</v>
      </c>
      <c r="V20" s="14">
        <f t="shared" si="4"/>
        <v>0</v>
      </c>
      <c r="W20" s="15"/>
      <c r="X20" s="15"/>
      <c r="Y20" s="15"/>
      <c r="Z20" s="15"/>
    </row>
    <row r="21" spans="1:26" x14ac:dyDescent="0.3">
      <c r="A21" s="6"/>
      <c r="B21" s="6"/>
      <c r="C21" s="16" t="s">
        <v>35</v>
      </c>
      <c r="D21" s="16" t="s">
        <v>35</v>
      </c>
      <c r="E21" s="16" t="s">
        <v>35</v>
      </c>
      <c r="F21" s="16" t="s">
        <v>35</v>
      </c>
      <c r="G21" s="16" t="s">
        <v>35</v>
      </c>
      <c r="H21" s="16" t="s">
        <v>35</v>
      </c>
      <c r="I21" s="16" t="s">
        <v>35</v>
      </c>
      <c r="J21" s="16" t="s">
        <v>35</v>
      </c>
      <c r="K21" s="16" t="s">
        <v>35</v>
      </c>
      <c r="L21" s="16" t="s">
        <v>35</v>
      </c>
      <c r="M21" s="16" t="s">
        <v>35</v>
      </c>
      <c r="N21" s="16" t="s">
        <v>35</v>
      </c>
      <c r="O21" s="16" t="s">
        <v>35</v>
      </c>
      <c r="P21" s="16" t="s">
        <v>35</v>
      </c>
      <c r="Q21" s="13">
        <f t="shared" si="0"/>
        <v>0</v>
      </c>
      <c r="R21" s="14">
        <f t="shared" si="1"/>
        <v>0</v>
      </c>
      <c r="S21" s="14">
        <f t="shared" si="2"/>
        <v>0</v>
      </c>
      <c r="T21" s="14">
        <f t="shared" si="3"/>
        <v>0</v>
      </c>
      <c r="U21" s="14">
        <f t="shared" si="5"/>
        <v>0</v>
      </c>
      <c r="V21" s="14">
        <f t="shared" si="4"/>
        <v>0</v>
      </c>
      <c r="W21" s="17"/>
      <c r="X21" s="17"/>
      <c r="Y21" s="17"/>
      <c r="Z21" s="17"/>
    </row>
    <row r="22" spans="1:26" x14ac:dyDescent="0.3">
      <c r="A22" s="3"/>
      <c r="B22" s="3"/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3">
        <f t="shared" si="0"/>
        <v>0</v>
      </c>
      <c r="R22" s="14">
        <f t="shared" si="1"/>
        <v>0</v>
      </c>
      <c r="S22" s="14">
        <f t="shared" si="2"/>
        <v>0</v>
      </c>
      <c r="T22" s="14">
        <f t="shared" si="3"/>
        <v>0</v>
      </c>
      <c r="U22" s="14">
        <f t="shared" si="5"/>
        <v>0</v>
      </c>
      <c r="V22" s="14">
        <f t="shared" si="4"/>
        <v>0</v>
      </c>
      <c r="W22" s="15"/>
      <c r="X22" s="15"/>
      <c r="Y22" s="15"/>
      <c r="Z22" s="15"/>
    </row>
    <row r="23" spans="1:26" x14ac:dyDescent="0.3">
      <c r="A23" s="6"/>
      <c r="B23" s="6"/>
      <c r="C23" s="16" t="s">
        <v>35</v>
      </c>
      <c r="D23" s="16" t="s">
        <v>35</v>
      </c>
      <c r="E23" s="16" t="s">
        <v>35</v>
      </c>
      <c r="F23" s="16" t="s">
        <v>35</v>
      </c>
      <c r="G23" s="16" t="s">
        <v>35</v>
      </c>
      <c r="H23" s="16" t="s">
        <v>35</v>
      </c>
      <c r="I23" s="16" t="s">
        <v>35</v>
      </c>
      <c r="J23" s="16" t="s">
        <v>35</v>
      </c>
      <c r="K23" s="16" t="s">
        <v>35</v>
      </c>
      <c r="L23" s="16" t="s">
        <v>35</v>
      </c>
      <c r="M23" s="16" t="s">
        <v>35</v>
      </c>
      <c r="N23" s="16" t="s">
        <v>35</v>
      </c>
      <c r="O23" s="16" t="s">
        <v>35</v>
      </c>
      <c r="P23" s="16" t="s">
        <v>35</v>
      </c>
      <c r="Q23" s="13">
        <f t="shared" si="0"/>
        <v>0</v>
      </c>
      <c r="R23" s="14">
        <f t="shared" si="1"/>
        <v>0</v>
      </c>
      <c r="S23" s="14">
        <f t="shared" si="2"/>
        <v>0</v>
      </c>
      <c r="T23" s="14">
        <f t="shared" si="3"/>
        <v>0</v>
      </c>
      <c r="U23" s="14">
        <f t="shared" si="5"/>
        <v>0</v>
      </c>
      <c r="V23" s="14">
        <f t="shared" si="4"/>
        <v>0</v>
      </c>
      <c r="W23" s="17"/>
      <c r="X23" s="17"/>
      <c r="Y23" s="17"/>
      <c r="Z23" s="17"/>
    </row>
    <row r="24" spans="1:26" x14ac:dyDescent="0.3">
      <c r="A24" s="3"/>
      <c r="B24" s="3"/>
      <c r="C24" s="12" t="s">
        <v>35</v>
      </c>
      <c r="D24" s="12" t="s">
        <v>35</v>
      </c>
      <c r="E24" s="12" t="s">
        <v>35</v>
      </c>
      <c r="F24" s="12" t="s">
        <v>35</v>
      </c>
      <c r="G24" s="12" t="s">
        <v>35</v>
      </c>
      <c r="H24" s="12" t="s">
        <v>35</v>
      </c>
      <c r="I24" s="12" t="s">
        <v>35</v>
      </c>
      <c r="J24" s="12" t="s">
        <v>35</v>
      </c>
      <c r="K24" s="12" t="s">
        <v>35</v>
      </c>
      <c r="L24" s="12" t="s">
        <v>35</v>
      </c>
      <c r="M24" s="12" t="s">
        <v>35</v>
      </c>
      <c r="N24" s="12" t="s">
        <v>35</v>
      </c>
      <c r="O24" s="12" t="s">
        <v>35</v>
      </c>
      <c r="P24" s="12" t="s">
        <v>35</v>
      </c>
      <c r="Q24" s="13">
        <f t="shared" si="0"/>
        <v>0</v>
      </c>
      <c r="R24" s="14">
        <f t="shared" si="1"/>
        <v>0</v>
      </c>
      <c r="S24" s="14">
        <f t="shared" si="2"/>
        <v>0</v>
      </c>
      <c r="T24" s="14">
        <f t="shared" si="3"/>
        <v>0</v>
      </c>
      <c r="U24" s="14">
        <f t="shared" si="5"/>
        <v>0</v>
      </c>
      <c r="V24" s="14">
        <f t="shared" si="4"/>
        <v>0</v>
      </c>
      <c r="W24" s="15"/>
      <c r="X24" s="15"/>
      <c r="Y24" s="15"/>
      <c r="Z24" s="15"/>
    </row>
    <row r="25" spans="1:26" x14ac:dyDescent="0.3">
      <c r="A25" s="6"/>
      <c r="B25" s="6"/>
      <c r="C25" s="16" t="s">
        <v>35</v>
      </c>
      <c r="D25" s="16" t="s">
        <v>35</v>
      </c>
      <c r="E25" s="16" t="s">
        <v>35</v>
      </c>
      <c r="F25" s="16" t="s">
        <v>35</v>
      </c>
      <c r="G25" s="16" t="s">
        <v>35</v>
      </c>
      <c r="H25" s="16" t="s">
        <v>35</v>
      </c>
      <c r="I25" s="16" t="s">
        <v>35</v>
      </c>
      <c r="J25" s="16" t="s">
        <v>35</v>
      </c>
      <c r="K25" s="16" t="s">
        <v>35</v>
      </c>
      <c r="L25" s="16" t="s">
        <v>35</v>
      </c>
      <c r="M25" s="16" t="s">
        <v>35</v>
      </c>
      <c r="N25" s="16" t="s">
        <v>35</v>
      </c>
      <c r="O25" s="16" t="s">
        <v>35</v>
      </c>
      <c r="P25" s="16" t="s">
        <v>35</v>
      </c>
      <c r="Q25" s="13">
        <f t="shared" si="0"/>
        <v>0</v>
      </c>
      <c r="R25" s="14">
        <f t="shared" si="1"/>
        <v>0</v>
      </c>
      <c r="S25" s="14">
        <f t="shared" si="2"/>
        <v>0</v>
      </c>
      <c r="T25" s="14">
        <f t="shared" si="3"/>
        <v>0</v>
      </c>
      <c r="U25" s="14">
        <f t="shared" si="5"/>
        <v>0</v>
      </c>
      <c r="V25" s="14">
        <f t="shared" si="4"/>
        <v>0</v>
      </c>
      <c r="W25" s="17"/>
      <c r="X25" s="17"/>
      <c r="Y25" s="17"/>
      <c r="Z25" s="17"/>
    </row>
    <row r="26" spans="1:26" x14ac:dyDescent="0.3">
      <c r="A26" s="3"/>
      <c r="B26" s="3"/>
      <c r="C26" s="12" t="s">
        <v>35</v>
      </c>
      <c r="D26" s="12" t="s">
        <v>35</v>
      </c>
      <c r="E26" s="12" t="s">
        <v>35</v>
      </c>
      <c r="F26" s="12" t="s">
        <v>35</v>
      </c>
      <c r="G26" s="12" t="s">
        <v>35</v>
      </c>
      <c r="H26" s="12" t="s">
        <v>35</v>
      </c>
      <c r="I26" s="12" t="s">
        <v>35</v>
      </c>
      <c r="J26" s="12" t="s">
        <v>35</v>
      </c>
      <c r="K26" s="12" t="s">
        <v>35</v>
      </c>
      <c r="L26" s="12" t="s">
        <v>35</v>
      </c>
      <c r="M26" s="12" t="s">
        <v>35</v>
      </c>
      <c r="N26" s="12" t="s">
        <v>35</v>
      </c>
      <c r="O26" s="12" t="s">
        <v>35</v>
      </c>
      <c r="P26" s="12" t="s">
        <v>35</v>
      </c>
      <c r="Q26" s="13">
        <f t="shared" si="0"/>
        <v>0</v>
      </c>
      <c r="R26" s="14">
        <f t="shared" si="1"/>
        <v>0</v>
      </c>
      <c r="S26" s="14">
        <f t="shared" si="2"/>
        <v>0</v>
      </c>
      <c r="T26" s="14">
        <f t="shared" si="3"/>
        <v>0</v>
      </c>
      <c r="U26" s="14">
        <f t="shared" si="5"/>
        <v>0</v>
      </c>
      <c r="V26" s="14">
        <f t="shared" si="4"/>
        <v>0</v>
      </c>
      <c r="W26" s="15"/>
      <c r="X26" s="15"/>
      <c r="Y26" s="15"/>
      <c r="Z26" s="15"/>
    </row>
    <row r="27" spans="1:26" x14ac:dyDescent="0.3">
      <c r="A27" s="6"/>
      <c r="B27" s="6"/>
      <c r="C27" s="16" t="s">
        <v>35</v>
      </c>
      <c r="D27" s="16" t="s">
        <v>35</v>
      </c>
      <c r="E27" s="16" t="s">
        <v>35</v>
      </c>
      <c r="F27" s="16" t="s">
        <v>35</v>
      </c>
      <c r="G27" s="16" t="s">
        <v>35</v>
      </c>
      <c r="H27" s="16" t="s">
        <v>35</v>
      </c>
      <c r="I27" s="16" t="s">
        <v>35</v>
      </c>
      <c r="J27" s="16" t="s">
        <v>35</v>
      </c>
      <c r="K27" s="16" t="s">
        <v>35</v>
      </c>
      <c r="L27" s="16" t="s">
        <v>35</v>
      </c>
      <c r="M27" s="16" t="s">
        <v>35</v>
      </c>
      <c r="N27" s="16" t="s">
        <v>35</v>
      </c>
      <c r="O27" s="16" t="s">
        <v>35</v>
      </c>
      <c r="P27" s="16" t="s">
        <v>35</v>
      </c>
      <c r="Q27" s="13">
        <f t="shared" si="0"/>
        <v>0</v>
      </c>
      <c r="R27" s="14">
        <f t="shared" si="1"/>
        <v>0</v>
      </c>
      <c r="S27" s="14">
        <f t="shared" si="2"/>
        <v>0</v>
      </c>
      <c r="T27" s="14">
        <f t="shared" si="3"/>
        <v>0</v>
      </c>
      <c r="U27" s="14">
        <f t="shared" si="5"/>
        <v>0</v>
      </c>
      <c r="V27" s="14">
        <f t="shared" si="4"/>
        <v>0</v>
      </c>
      <c r="W27" s="17"/>
      <c r="X27" s="17"/>
      <c r="Y27" s="17"/>
      <c r="Z27" s="17"/>
    </row>
    <row r="28" spans="1:26" x14ac:dyDescent="0.3">
      <c r="A28" s="3"/>
      <c r="B28" s="3"/>
      <c r="C28" s="12" t="s">
        <v>35</v>
      </c>
      <c r="D28" s="12" t="s">
        <v>35</v>
      </c>
      <c r="E28" s="12" t="s">
        <v>35</v>
      </c>
      <c r="F28" s="12" t="s">
        <v>35</v>
      </c>
      <c r="G28" s="12" t="s">
        <v>35</v>
      </c>
      <c r="H28" s="12" t="s">
        <v>35</v>
      </c>
      <c r="I28" s="12" t="s">
        <v>35</v>
      </c>
      <c r="J28" s="12" t="s">
        <v>35</v>
      </c>
      <c r="K28" s="12" t="s">
        <v>35</v>
      </c>
      <c r="L28" s="12" t="s">
        <v>35</v>
      </c>
      <c r="M28" s="12" t="s">
        <v>35</v>
      </c>
      <c r="N28" s="12" t="s">
        <v>35</v>
      </c>
      <c r="O28" s="12" t="s">
        <v>35</v>
      </c>
      <c r="P28" s="12" t="s">
        <v>35</v>
      </c>
      <c r="Q28" s="13">
        <f t="shared" si="0"/>
        <v>0</v>
      </c>
      <c r="R28" s="14">
        <f t="shared" si="1"/>
        <v>0</v>
      </c>
      <c r="S28" s="14">
        <f t="shared" si="2"/>
        <v>0</v>
      </c>
      <c r="T28" s="14">
        <f t="shared" si="3"/>
        <v>0</v>
      </c>
      <c r="U28" s="14">
        <f t="shared" si="5"/>
        <v>0</v>
      </c>
      <c r="V28" s="14">
        <f t="shared" si="4"/>
        <v>0</v>
      </c>
      <c r="W28" s="15"/>
      <c r="X28" s="15"/>
      <c r="Y28" s="15"/>
      <c r="Z28" s="15"/>
    </row>
    <row r="29" spans="1:26" x14ac:dyDescent="0.3">
      <c r="A29" s="6"/>
      <c r="B29" s="6"/>
      <c r="C29" s="16" t="s">
        <v>35</v>
      </c>
      <c r="D29" s="16" t="s">
        <v>35</v>
      </c>
      <c r="E29" s="16" t="s">
        <v>35</v>
      </c>
      <c r="F29" s="16" t="s">
        <v>35</v>
      </c>
      <c r="G29" s="16" t="s">
        <v>35</v>
      </c>
      <c r="H29" s="16" t="s">
        <v>35</v>
      </c>
      <c r="I29" s="16" t="s">
        <v>35</v>
      </c>
      <c r="J29" s="16" t="s">
        <v>35</v>
      </c>
      <c r="K29" s="16" t="s">
        <v>35</v>
      </c>
      <c r="L29" s="16" t="s">
        <v>35</v>
      </c>
      <c r="M29" s="16" t="s">
        <v>35</v>
      </c>
      <c r="N29" s="16" t="s">
        <v>35</v>
      </c>
      <c r="O29" s="16" t="s">
        <v>35</v>
      </c>
      <c r="P29" s="16" t="s">
        <v>35</v>
      </c>
      <c r="Q29" s="13">
        <f t="shared" si="0"/>
        <v>0</v>
      </c>
      <c r="R29" s="14">
        <f t="shared" si="1"/>
        <v>0</v>
      </c>
      <c r="S29" s="14">
        <f t="shared" si="2"/>
        <v>0</v>
      </c>
      <c r="T29" s="14">
        <f t="shared" si="3"/>
        <v>0</v>
      </c>
      <c r="U29" s="14">
        <f t="shared" si="5"/>
        <v>0</v>
      </c>
      <c r="V29" s="14">
        <f t="shared" si="4"/>
        <v>0</v>
      </c>
      <c r="W29" s="17"/>
      <c r="X29" s="17"/>
      <c r="Y29" s="17"/>
      <c r="Z29" s="17"/>
    </row>
    <row r="30" spans="1:26" x14ac:dyDescent="0.3">
      <c r="A30" s="3"/>
      <c r="B30" s="3"/>
      <c r="C30" s="12" t="s">
        <v>35</v>
      </c>
      <c r="D30" s="12" t="s">
        <v>35</v>
      </c>
      <c r="E30" s="12" t="s">
        <v>35</v>
      </c>
      <c r="F30" s="12" t="s">
        <v>35</v>
      </c>
      <c r="G30" s="12" t="s">
        <v>35</v>
      </c>
      <c r="H30" s="12" t="s">
        <v>35</v>
      </c>
      <c r="I30" s="12" t="s">
        <v>35</v>
      </c>
      <c r="J30" s="12" t="s">
        <v>35</v>
      </c>
      <c r="K30" s="12" t="s">
        <v>35</v>
      </c>
      <c r="L30" s="12" t="s">
        <v>35</v>
      </c>
      <c r="M30" s="12" t="s">
        <v>35</v>
      </c>
      <c r="N30" s="12" t="s">
        <v>35</v>
      </c>
      <c r="O30" s="12" t="s">
        <v>35</v>
      </c>
      <c r="P30" s="12" t="s">
        <v>35</v>
      </c>
      <c r="Q30" s="13">
        <f t="shared" si="0"/>
        <v>0</v>
      </c>
      <c r="R30" s="14">
        <f t="shared" si="1"/>
        <v>0</v>
      </c>
      <c r="S30" s="14">
        <f t="shared" si="2"/>
        <v>0</v>
      </c>
      <c r="T30" s="14">
        <f t="shared" si="3"/>
        <v>0</v>
      </c>
      <c r="U30" s="14">
        <f t="shared" si="5"/>
        <v>0</v>
      </c>
      <c r="V30" s="14">
        <f t="shared" si="4"/>
        <v>0</v>
      </c>
      <c r="W30" s="15"/>
      <c r="X30" s="15"/>
      <c r="Y30" s="15"/>
      <c r="Z30" s="15"/>
    </row>
  </sheetData>
  <mergeCells count="8">
    <mergeCell ref="M3:P3"/>
    <mergeCell ref="A1:Z1"/>
    <mergeCell ref="A2:Z2"/>
    <mergeCell ref="C3:E3"/>
    <mergeCell ref="F3:I3"/>
    <mergeCell ref="J3:L3"/>
    <mergeCell ref="Q3:V3"/>
    <mergeCell ref="W3:Z3"/>
  </mergeCells>
  <conditionalFormatting sqref="C6:P30">
    <cfRule type="cellIs" dxfId="5" priority="1" operator="equal">
      <formula>"✅ Completed"</formula>
    </cfRule>
    <cfRule type="cellIs" dxfId="4" priority="2" operator="equal">
      <formula>"🔄 In Progress"</formula>
    </cfRule>
    <cfRule type="cellIs" dxfId="3" priority="3" operator="equal">
      <formula>"⏳ Not Started"</formula>
    </cfRule>
  </conditionalFormatting>
  <dataValidations count="1">
    <dataValidation type="list" allowBlank="1" sqref="C6:P30" xr:uid="{00000000-0002-0000-0100-000000000000}">
      <formula1>"✅ Completed,🔄 In Progress,⏳ Not Started,❌ Failed / Needs Review"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zoomScaleNormal="100" workbookViewId="0">
      <pane ySplit="3" topLeftCell="A4" activePane="bottomLeft" state="frozen"/>
      <selection pane="bottomLeft" activeCell="D4" sqref="D4"/>
    </sheetView>
  </sheetViews>
  <sheetFormatPr defaultColWidth="8.6640625" defaultRowHeight="14.4" x14ac:dyDescent="0.3"/>
  <cols>
    <col min="1" max="1" width="22" customWidth="1"/>
    <col min="2" max="2" width="9" customWidth="1"/>
    <col min="3" max="3" width="26" customWidth="1"/>
    <col min="4" max="4" width="12" customWidth="1"/>
    <col min="5" max="5" width="14" customWidth="1"/>
    <col min="6" max="6" width="50" customWidth="1"/>
    <col min="7" max="7" width="8" customWidth="1"/>
    <col min="8" max="9" width="38" customWidth="1"/>
  </cols>
  <sheetData>
    <row r="1" spans="1:9" ht="30" customHeight="1" x14ac:dyDescent="0.3">
      <c r="A1" s="30" t="s">
        <v>37</v>
      </c>
      <c r="B1" s="30"/>
      <c r="C1" s="30"/>
      <c r="D1" s="30"/>
      <c r="E1" s="30"/>
      <c r="F1" s="30"/>
      <c r="G1" s="30"/>
      <c r="H1" s="30"/>
      <c r="I1" s="30"/>
    </row>
    <row r="2" spans="1:9" ht="21.75" customHeight="1" x14ac:dyDescent="0.3">
      <c r="A2" s="31" t="s">
        <v>38</v>
      </c>
      <c r="B2" s="31"/>
      <c r="C2" s="31"/>
      <c r="D2" s="31"/>
      <c r="E2" s="31"/>
      <c r="F2" s="31"/>
      <c r="G2" s="31"/>
      <c r="H2" s="31"/>
      <c r="I2" s="31"/>
    </row>
    <row r="3" spans="1:9" ht="27.75" customHeight="1" x14ac:dyDescent="0.3">
      <c r="A3" s="18" t="s">
        <v>39</v>
      </c>
      <c r="B3" s="18" t="s">
        <v>40</v>
      </c>
      <c r="C3" s="18" t="s">
        <v>41</v>
      </c>
      <c r="D3" s="18" t="s">
        <v>42</v>
      </c>
      <c r="E3" s="18" t="s">
        <v>43</v>
      </c>
      <c r="F3" s="18" t="s">
        <v>44</v>
      </c>
      <c r="G3" s="18" t="s">
        <v>45</v>
      </c>
      <c r="H3" s="18" t="s">
        <v>46</v>
      </c>
      <c r="I3" s="18" t="s">
        <v>47</v>
      </c>
    </row>
    <row r="4" spans="1:9" ht="49.5" customHeight="1" x14ac:dyDescent="0.3">
      <c r="A4" s="39" t="s">
        <v>185</v>
      </c>
      <c r="B4" s="19" t="s">
        <v>18</v>
      </c>
      <c r="C4" s="20" t="s">
        <v>48</v>
      </c>
      <c r="D4" s="19" t="s">
        <v>49</v>
      </c>
      <c r="E4" s="19" t="s">
        <v>50</v>
      </c>
      <c r="F4" s="20" t="s">
        <v>51</v>
      </c>
      <c r="G4" s="19" t="s">
        <v>196</v>
      </c>
      <c r="H4" s="47" t="s">
        <v>200</v>
      </c>
      <c r="I4" s="20" t="s">
        <v>52</v>
      </c>
    </row>
    <row r="5" spans="1:9" ht="49.5" customHeight="1" x14ac:dyDescent="0.3">
      <c r="A5" s="39"/>
      <c r="B5" s="19" t="s">
        <v>19</v>
      </c>
      <c r="C5" s="20" t="s">
        <v>53</v>
      </c>
      <c r="D5" s="19" t="s">
        <v>54</v>
      </c>
      <c r="E5" s="19" t="s">
        <v>50</v>
      </c>
      <c r="F5" s="20" t="s">
        <v>55</v>
      </c>
      <c r="G5" s="19" t="s">
        <v>196</v>
      </c>
      <c r="H5" s="48" t="s">
        <v>201</v>
      </c>
      <c r="I5" s="20" t="s">
        <v>56</v>
      </c>
    </row>
    <row r="6" spans="1:9" ht="49.5" customHeight="1" x14ac:dyDescent="0.3">
      <c r="A6" s="39"/>
      <c r="B6" s="19" t="s">
        <v>20</v>
      </c>
      <c r="C6" s="20" t="s">
        <v>57</v>
      </c>
      <c r="D6" s="19" t="s">
        <v>49</v>
      </c>
      <c r="E6" s="19" t="s">
        <v>58</v>
      </c>
      <c r="F6" s="20" t="s">
        <v>59</v>
      </c>
      <c r="G6" s="19" t="s">
        <v>197</v>
      </c>
      <c r="H6" s="48" t="s">
        <v>202</v>
      </c>
      <c r="I6" s="20" t="s">
        <v>60</v>
      </c>
    </row>
    <row r="7" spans="1:9" ht="49.5" customHeight="1" x14ac:dyDescent="0.3">
      <c r="A7" s="40" t="s">
        <v>186</v>
      </c>
      <c r="B7" s="19" t="s">
        <v>21</v>
      </c>
      <c r="C7" s="20" t="s">
        <v>61</v>
      </c>
      <c r="D7" s="19" t="s">
        <v>62</v>
      </c>
      <c r="E7" s="19" t="s">
        <v>50</v>
      </c>
      <c r="F7" s="20" t="s">
        <v>63</v>
      </c>
      <c r="G7" s="19" t="s">
        <v>197</v>
      </c>
      <c r="H7" s="49" t="s">
        <v>203</v>
      </c>
      <c r="I7" s="20" t="s">
        <v>64</v>
      </c>
    </row>
    <row r="8" spans="1:9" ht="49.5" customHeight="1" x14ac:dyDescent="0.3">
      <c r="A8" s="40"/>
      <c r="B8" s="19" t="s">
        <v>22</v>
      </c>
      <c r="C8" s="20" t="s">
        <v>65</v>
      </c>
      <c r="D8" s="19" t="s">
        <v>49</v>
      </c>
      <c r="E8" s="19" t="s">
        <v>58</v>
      </c>
      <c r="F8" s="20" t="s">
        <v>66</v>
      </c>
      <c r="G8" s="19" t="s">
        <v>197</v>
      </c>
      <c r="H8" s="28" t="s">
        <v>204</v>
      </c>
      <c r="I8" s="20" t="s">
        <v>67</v>
      </c>
    </row>
    <row r="9" spans="1:9" ht="49.5" customHeight="1" x14ac:dyDescent="0.3">
      <c r="A9" s="40"/>
      <c r="B9" s="19" t="s">
        <v>23</v>
      </c>
      <c r="C9" s="20" t="s">
        <v>77</v>
      </c>
      <c r="D9" s="19" t="s">
        <v>69</v>
      </c>
      <c r="E9" s="19" t="s">
        <v>58</v>
      </c>
      <c r="F9" s="20" t="s">
        <v>70</v>
      </c>
      <c r="G9" s="19" t="s">
        <v>198</v>
      </c>
      <c r="H9" s="48" t="s">
        <v>205</v>
      </c>
      <c r="I9" s="20" t="s">
        <v>72</v>
      </c>
    </row>
    <row r="10" spans="1:9" ht="49.5" customHeight="1" x14ac:dyDescent="0.3">
      <c r="A10" s="40"/>
      <c r="B10" s="19" t="s">
        <v>24</v>
      </c>
      <c r="C10" s="20" t="s">
        <v>80</v>
      </c>
      <c r="D10" s="19" t="s">
        <v>62</v>
      </c>
      <c r="E10" s="19" t="s">
        <v>58</v>
      </c>
      <c r="F10" s="20" t="s">
        <v>74</v>
      </c>
      <c r="G10" s="19" t="s">
        <v>198</v>
      </c>
      <c r="H10" s="28" t="s">
        <v>206</v>
      </c>
      <c r="I10" s="20" t="s">
        <v>76</v>
      </c>
    </row>
    <row r="11" spans="1:9" ht="49.5" customHeight="1" x14ac:dyDescent="0.3">
      <c r="A11" s="41" t="s">
        <v>187</v>
      </c>
      <c r="B11" s="19" t="s">
        <v>25</v>
      </c>
      <c r="C11" s="20" t="s">
        <v>207</v>
      </c>
      <c r="D11" s="19" t="s">
        <v>49</v>
      </c>
      <c r="E11" s="19" t="s">
        <v>50</v>
      </c>
      <c r="F11" s="20" t="s">
        <v>78</v>
      </c>
      <c r="G11" s="19" t="s">
        <v>197</v>
      </c>
      <c r="H11" s="28" t="s">
        <v>208</v>
      </c>
      <c r="I11" s="20" t="s">
        <v>79</v>
      </c>
    </row>
    <row r="12" spans="1:9" ht="49.5" customHeight="1" x14ac:dyDescent="0.3">
      <c r="A12" s="41"/>
      <c r="B12" s="19" t="s">
        <v>26</v>
      </c>
      <c r="C12" s="20" t="s">
        <v>73</v>
      </c>
      <c r="D12" s="19" t="s">
        <v>54</v>
      </c>
      <c r="E12" s="19" t="s">
        <v>50</v>
      </c>
      <c r="F12" s="20" t="s">
        <v>81</v>
      </c>
      <c r="G12" s="19" t="s">
        <v>199</v>
      </c>
      <c r="H12" s="28" t="s">
        <v>209</v>
      </c>
      <c r="I12" s="20" t="s">
        <v>82</v>
      </c>
    </row>
    <row r="13" spans="1:9" ht="49.5" customHeight="1" x14ac:dyDescent="0.3">
      <c r="A13" s="41"/>
      <c r="B13" s="21" t="s">
        <v>27</v>
      </c>
      <c r="C13" s="22" t="s">
        <v>195</v>
      </c>
      <c r="D13" s="21" t="s">
        <v>84</v>
      </c>
      <c r="E13" s="21" t="s">
        <v>85</v>
      </c>
      <c r="F13" s="23" t="s">
        <v>86</v>
      </c>
      <c r="G13" s="21" t="s">
        <v>87</v>
      </c>
      <c r="H13" s="50" t="s">
        <v>209</v>
      </c>
      <c r="I13" s="23" t="s">
        <v>89</v>
      </c>
    </row>
    <row r="14" spans="1:9" ht="39.75" customHeight="1" x14ac:dyDescent="0.3">
      <c r="A14" s="29" t="s">
        <v>90</v>
      </c>
      <c r="B14" s="29"/>
      <c r="C14" s="29"/>
      <c r="D14" s="29"/>
      <c r="E14" s="29"/>
      <c r="F14" s="29"/>
      <c r="G14" s="29"/>
      <c r="H14" s="29"/>
      <c r="I14" s="29"/>
    </row>
  </sheetData>
  <mergeCells count="6">
    <mergeCell ref="A14:I14"/>
    <mergeCell ref="A1:I1"/>
    <mergeCell ref="A2:I2"/>
    <mergeCell ref="A4:A6"/>
    <mergeCell ref="A7:A10"/>
    <mergeCell ref="A11:A13"/>
  </mergeCells>
  <hyperlinks>
    <hyperlink ref="H4" r:id="rId1" xr:uid="{8A1BA4B7-24F0-49F7-A60D-6F212AA3B28C}"/>
    <hyperlink ref="H5" r:id="rId2" xr:uid="{8EFCDD13-C94F-4A41-B7C4-9C0BAD7D0B6E}"/>
    <hyperlink ref="H6" r:id="rId3" xr:uid="{F8978799-CA9F-411C-89B3-DA076D34E9EE}"/>
    <hyperlink ref="H7" r:id="rId4" xr:uid="{12D65497-5C61-4C62-835B-452D0AAF37AC}"/>
    <hyperlink ref="H8" r:id="rId5" xr:uid="{510CD266-D65E-48DB-B533-588C24279A62}"/>
    <hyperlink ref="H9" r:id="rId6" xr:uid="{488230EC-BA94-4B92-BD1E-6C122F1C0250}"/>
    <hyperlink ref="H10" r:id="rId7" xr:uid="{5AB5AADF-288B-481F-BD98-CFD00A4287F3}"/>
    <hyperlink ref="H11" r:id="rId8" xr:uid="{4F326E5B-E5F6-4C53-965C-7D4170D7E738}"/>
    <hyperlink ref="H12" r:id="rId9" xr:uid="{330AC39F-43E9-4C46-B754-C91A784080EE}"/>
    <hyperlink ref="H13" r:id="rId10" xr:uid="{3F53E59D-7058-4A90-AF54-542E244E44DC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zoomScaleNormal="100" workbookViewId="0">
      <pane ySplit="3" topLeftCell="A8" activePane="bottomLeft" state="frozen"/>
      <selection pane="bottomLeft" activeCell="H3" sqref="H3"/>
    </sheetView>
  </sheetViews>
  <sheetFormatPr defaultColWidth="8.6640625" defaultRowHeight="14.4" x14ac:dyDescent="0.3"/>
  <cols>
    <col min="1" max="1" width="7" customWidth="1"/>
    <col min="2" max="2" width="9" customWidth="1"/>
    <col min="3" max="3" width="26" customWidth="1"/>
    <col min="4" max="4" width="28" customWidth="1"/>
    <col min="5" max="5" width="65" customWidth="1"/>
    <col min="6" max="6" width="38" customWidth="1"/>
  </cols>
  <sheetData>
    <row r="1" spans="1:8" ht="30" customHeight="1" x14ac:dyDescent="0.3">
      <c r="A1" s="30" t="s">
        <v>91</v>
      </c>
      <c r="B1" s="30"/>
      <c r="C1" s="30"/>
      <c r="D1" s="30"/>
      <c r="E1" s="30"/>
      <c r="F1" s="30"/>
    </row>
    <row r="2" spans="1:8" ht="21.75" customHeight="1" x14ac:dyDescent="0.3">
      <c r="A2" s="31" t="s">
        <v>92</v>
      </c>
      <c r="B2" s="31"/>
      <c r="C2" s="31"/>
      <c r="D2" s="31"/>
      <c r="E2" s="31"/>
      <c r="F2" s="31"/>
    </row>
    <row r="3" spans="1:8" ht="25.5" customHeight="1" x14ac:dyDescent="0.3">
      <c r="A3" s="18" t="s">
        <v>93</v>
      </c>
      <c r="B3" s="18" t="s">
        <v>40</v>
      </c>
      <c r="C3" s="18" t="s">
        <v>41</v>
      </c>
      <c r="D3" s="18" t="s">
        <v>94</v>
      </c>
      <c r="E3" s="18" t="s">
        <v>95</v>
      </c>
      <c r="F3" s="18" t="s">
        <v>96</v>
      </c>
    </row>
    <row r="4" spans="1:8" ht="49.5" customHeight="1" x14ac:dyDescent="0.3">
      <c r="A4" s="2">
        <v>1</v>
      </c>
      <c r="B4" s="2" t="s">
        <v>18</v>
      </c>
      <c r="C4" s="20" t="s">
        <v>48</v>
      </c>
      <c r="D4" s="3" t="s">
        <v>97</v>
      </c>
      <c r="E4" s="3" t="s">
        <v>210</v>
      </c>
      <c r="F4" s="3"/>
    </row>
    <row r="5" spans="1:8" ht="49.5" customHeight="1" x14ac:dyDescent="0.3">
      <c r="A5" s="5">
        <v>2</v>
      </c>
      <c r="B5" s="5" t="s">
        <v>19</v>
      </c>
      <c r="C5" s="20" t="s">
        <v>53</v>
      </c>
      <c r="D5" s="6" t="s">
        <v>98</v>
      </c>
      <c r="E5" s="6" t="s">
        <v>211</v>
      </c>
      <c r="F5" s="6"/>
    </row>
    <row r="6" spans="1:8" ht="49.5" customHeight="1" x14ac:dyDescent="0.3">
      <c r="A6" s="2">
        <v>3</v>
      </c>
      <c r="B6" s="2" t="s">
        <v>20</v>
      </c>
      <c r="C6" s="20" t="s">
        <v>57</v>
      </c>
      <c r="D6" s="3" t="s">
        <v>99</v>
      </c>
      <c r="E6" s="3" t="s">
        <v>212</v>
      </c>
      <c r="F6" s="3"/>
    </row>
    <row r="7" spans="1:8" ht="49.5" customHeight="1" x14ac:dyDescent="0.3">
      <c r="A7" s="5">
        <v>4</v>
      </c>
      <c r="B7" s="5" t="s">
        <v>21</v>
      </c>
      <c r="C7" s="20" t="s">
        <v>61</v>
      </c>
      <c r="D7" s="6" t="s">
        <v>100</v>
      </c>
      <c r="E7" s="6" t="s">
        <v>213</v>
      </c>
      <c r="F7" s="6"/>
    </row>
    <row r="8" spans="1:8" ht="49.5" customHeight="1" x14ac:dyDescent="0.3">
      <c r="A8" s="2">
        <v>5</v>
      </c>
      <c r="B8" s="2" t="s">
        <v>22</v>
      </c>
      <c r="C8" s="20" t="s">
        <v>65</v>
      </c>
      <c r="D8" s="3" t="s">
        <v>101</v>
      </c>
      <c r="E8" s="3" t="s">
        <v>214</v>
      </c>
      <c r="F8" s="3"/>
    </row>
    <row r="9" spans="1:8" ht="49.5" customHeight="1" x14ac:dyDescent="0.3">
      <c r="A9" s="5">
        <v>6</v>
      </c>
      <c r="B9" s="5" t="s">
        <v>23</v>
      </c>
      <c r="C9" s="20" t="s">
        <v>77</v>
      </c>
      <c r="D9" s="6" t="s">
        <v>104</v>
      </c>
      <c r="E9" s="6" t="s">
        <v>215</v>
      </c>
      <c r="F9" s="6"/>
      <c r="G9" s="51"/>
    </row>
    <row r="10" spans="1:8" ht="49.5" customHeight="1" x14ac:dyDescent="0.3">
      <c r="A10" s="2">
        <v>7</v>
      </c>
      <c r="B10" s="2" t="s">
        <v>24</v>
      </c>
      <c r="C10" s="20" t="s">
        <v>80</v>
      </c>
      <c r="D10" s="3" t="s">
        <v>103</v>
      </c>
      <c r="E10" s="3" t="s">
        <v>216</v>
      </c>
      <c r="F10" s="3"/>
      <c r="H10" s="3"/>
    </row>
    <row r="11" spans="1:8" ht="49.5" customHeight="1" x14ac:dyDescent="0.3">
      <c r="A11" s="5">
        <v>8</v>
      </c>
      <c r="B11" s="5" t="s">
        <v>25</v>
      </c>
      <c r="C11" s="20" t="s">
        <v>207</v>
      </c>
      <c r="D11" s="6" t="s">
        <v>102</v>
      </c>
      <c r="E11" s="6" t="s">
        <v>217</v>
      </c>
      <c r="F11" s="6"/>
    </row>
    <row r="12" spans="1:8" ht="49.5" customHeight="1" x14ac:dyDescent="0.3">
      <c r="A12" s="2">
        <v>9</v>
      </c>
      <c r="B12" s="2" t="s">
        <v>26</v>
      </c>
      <c r="C12" s="20" t="s">
        <v>73</v>
      </c>
      <c r="D12" s="3" t="s">
        <v>105</v>
      </c>
      <c r="E12" s="3" t="s">
        <v>218</v>
      </c>
      <c r="F12" s="3"/>
    </row>
    <row r="13" spans="1:8" ht="49.5" customHeight="1" x14ac:dyDescent="0.3">
      <c r="A13" s="24">
        <v>10</v>
      </c>
      <c r="B13" s="24" t="s">
        <v>27</v>
      </c>
      <c r="C13" s="25" t="s">
        <v>83</v>
      </c>
      <c r="D13" s="25" t="s">
        <v>106</v>
      </c>
      <c r="E13" s="25" t="s">
        <v>107</v>
      </c>
      <c r="F13" s="25" t="s">
        <v>88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"/>
  <sheetViews>
    <sheetView topLeftCell="A4" zoomScaleNormal="100" workbookViewId="0">
      <selection activeCell="D9" sqref="D9:E9"/>
    </sheetView>
  </sheetViews>
  <sheetFormatPr defaultColWidth="8.6640625" defaultRowHeight="14.4" x14ac:dyDescent="0.3"/>
  <cols>
    <col min="1" max="1" width="38" customWidth="1"/>
    <col min="2" max="2" width="18" customWidth="1"/>
    <col min="3" max="3" width="102.88671875" customWidth="1"/>
  </cols>
  <sheetData>
    <row r="1" spans="1:6" ht="30" customHeight="1" x14ac:dyDescent="0.3">
      <c r="A1" s="30" t="s">
        <v>108</v>
      </c>
      <c r="B1" s="30"/>
      <c r="C1" s="30"/>
    </row>
    <row r="2" spans="1:6" ht="25.5" customHeight="1" x14ac:dyDescent="0.3">
      <c r="A2" s="18" t="s">
        <v>109</v>
      </c>
      <c r="B2" s="18" t="s">
        <v>110</v>
      </c>
      <c r="C2" s="18" t="s">
        <v>111</v>
      </c>
    </row>
    <row r="3" spans="1:6" ht="21.75" customHeight="1" x14ac:dyDescent="0.3">
      <c r="A3" s="3" t="s">
        <v>112</v>
      </c>
      <c r="B3" s="2" t="s">
        <v>113</v>
      </c>
      <c r="C3" s="27" t="s">
        <v>114</v>
      </c>
    </row>
    <row r="4" spans="1:6" ht="21.75" customHeight="1" x14ac:dyDescent="0.3">
      <c r="A4" s="6" t="s">
        <v>115</v>
      </c>
      <c r="B4" s="5" t="s">
        <v>113</v>
      </c>
      <c r="C4" s="6" t="s">
        <v>116</v>
      </c>
    </row>
    <row r="5" spans="1:6" ht="21.75" customHeight="1" x14ac:dyDescent="0.3">
      <c r="A5" s="3" t="s">
        <v>117</v>
      </c>
      <c r="B5" s="2" t="s">
        <v>113</v>
      </c>
      <c r="C5" s="3" t="s">
        <v>71</v>
      </c>
    </row>
    <row r="6" spans="1:6" ht="21.75" customHeight="1" x14ac:dyDescent="0.3">
      <c r="A6" s="6" t="s">
        <v>118</v>
      </c>
      <c r="B6" s="5" t="s">
        <v>113</v>
      </c>
      <c r="C6" s="6" t="s">
        <v>89</v>
      </c>
    </row>
    <row r="7" spans="1:6" ht="21.75" customHeight="1" x14ac:dyDescent="0.3">
      <c r="A7" s="3" t="s">
        <v>119</v>
      </c>
      <c r="B7" s="2" t="s">
        <v>113</v>
      </c>
      <c r="C7" s="3" t="s">
        <v>120</v>
      </c>
    </row>
    <row r="8" spans="1:6" ht="21.75" customHeight="1" x14ac:dyDescent="0.3">
      <c r="A8" s="6" t="s">
        <v>121</v>
      </c>
      <c r="B8" s="5" t="s">
        <v>113</v>
      </c>
      <c r="C8" s="6" t="s">
        <v>82</v>
      </c>
    </row>
    <row r="9" spans="1:6" ht="21.75" customHeight="1" x14ac:dyDescent="0.3">
      <c r="A9" s="3" t="s">
        <v>122</v>
      </c>
      <c r="B9" s="2" t="s">
        <v>123</v>
      </c>
      <c r="C9" s="3" t="s">
        <v>75</v>
      </c>
    </row>
    <row r="10" spans="1:6" ht="21.75" customHeight="1" x14ac:dyDescent="0.3">
      <c r="A10" s="6" t="s">
        <v>124</v>
      </c>
      <c r="B10" s="5" t="s">
        <v>123</v>
      </c>
      <c r="C10" s="6" t="s">
        <v>125</v>
      </c>
    </row>
    <row r="11" spans="1:6" ht="21.75" customHeight="1" x14ac:dyDescent="0.3">
      <c r="A11" s="3" t="s">
        <v>126</v>
      </c>
      <c r="B11" s="2" t="s">
        <v>127</v>
      </c>
      <c r="C11" s="27" t="s">
        <v>128</v>
      </c>
    </row>
    <row r="12" spans="1:6" ht="21.75" customHeight="1" x14ac:dyDescent="0.3">
      <c r="A12" s="6" t="s">
        <v>129</v>
      </c>
      <c r="B12" s="5" t="s">
        <v>127</v>
      </c>
      <c r="C12" s="56" t="s">
        <v>130</v>
      </c>
    </row>
    <row r="13" spans="1:6" ht="21.75" customHeight="1" x14ac:dyDescent="0.3">
      <c r="A13" s="3" t="s">
        <v>131</v>
      </c>
      <c r="B13" s="2" t="s">
        <v>127</v>
      </c>
      <c r="C13" s="27" t="s">
        <v>132</v>
      </c>
    </row>
    <row r="14" spans="1:6" ht="21.75" customHeight="1" x14ac:dyDescent="0.3">
      <c r="A14" s="6" t="s">
        <v>133</v>
      </c>
      <c r="B14" s="5" t="s">
        <v>134</v>
      </c>
      <c r="C14" s="6" t="s">
        <v>135</v>
      </c>
    </row>
    <row r="15" spans="1:6" ht="21.75" customHeight="1" x14ac:dyDescent="0.3">
      <c r="A15" s="54" t="s">
        <v>136</v>
      </c>
      <c r="B15" s="55" t="s">
        <v>137</v>
      </c>
      <c r="C15" s="54" t="s">
        <v>76</v>
      </c>
      <c r="F15" s="59"/>
    </row>
    <row r="16" spans="1:6" ht="21.75" customHeight="1" x14ac:dyDescent="0.3">
      <c r="A16" s="57" t="s">
        <v>219</v>
      </c>
      <c r="B16" s="58" t="s">
        <v>127</v>
      </c>
      <c r="C16" s="60" t="s">
        <v>220</v>
      </c>
    </row>
    <row r="17" spans="1:3" ht="21.75" customHeight="1" x14ac:dyDescent="0.3">
      <c r="A17" s="52"/>
      <c r="B17" s="53"/>
      <c r="C17" s="52"/>
    </row>
    <row r="19" spans="1:3" ht="24" customHeight="1" x14ac:dyDescent="0.3">
      <c r="A19" s="44" t="s">
        <v>138</v>
      </c>
      <c r="B19" s="44"/>
      <c r="C19" s="44"/>
    </row>
    <row r="20" spans="1:3" ht="21.75" customHeight="1" x14ac:dyDescent="0.3">
      <c r="A20" s="26" t="s">
        <v>139</v>
      </c>
      <c r="B20" s="43" t="s">
        <v>140</v>
      </c>
      <c r="C20" s="43"/>
    </row>
    <row r="21" spans="1:3" ht="21.75" customHeight="1" x14ac:dyDescent="0.3">
      <c r="A21" s="26" t="s">
        <v>141</v>
      </c>
      <c r="B21" s="42" t="s">
        <v>142</v>
      </c>
      <c r="C21" s="42"/>
    </row>
    <row r="22" spans="1:3" ht="21.75" customHeight="1" x14ac:dyDescent="0.3">
      <c r="A22" s="26" t="s">
        <v>143</v>
      </c>
      <c r="B22" s="43" t="s">
        <v>144</v>
      </c>
      <c r="C22" s="43"/>
    </row>
    <row r="23" spans="1:3" ht="21.75" customHeight="1" x14ac:dyDescent="0.3">
      <c r="A23" s="26" t="s">
        <v>145</v>
      </c>
      <c r="B23" s="42" t="s">
        <v>146</v>
      </c>
      <c r="C23" s="42"/>
    </row>
    <row r="24" spans="1:3" ht="21.75" customHeight="1" x14ac:dyDescent="0.3">
      <c r="A24" s="26" t="s">
        <v>147</v>
      </c>
      <c r="B24" s="43" t="s">
        <v>148</v>
      </c>
      <c r="C24" s="43"/>
    </row>
    <row r="25" spans="1:3" ht="21.75" customHeight="1" x14ac:dyDescent="0.3">
      <c r="A25" s="26" t="s">
        <v>149</v>
      </c>
      <c r="B25" s="42" t="s">
        <v>150</v>
      </c>
      <c r="C25" s="42"/>
    </row>
    <row r="26" spans="1:3" ht="21.75" customHeight="1" x14ac:dyDescent="0.3">
      <c r="A26" s="26" t="s">
        <v>151</v>
      </c>
      <c r="B26" s="43" t="s">
        <v>152</v>
      </c>
      <c r="C26" s="43"/>
    </row>
  </sheetData>
  <mergeCells count="9">
    <mergeCell ref="B23:C23"/>
    <mergeCell ref="B24:C24"/>
    <mergeCell ref="B25:C25"/>
    <mergeCell ref="B26:C26"/>
    <mergeCell ref="A1:C1"/>
    <mergeCell ref="A19:C19"/>
    <mergeCell ref="B20:C20"/>
    <mergeCell ref="B21:C21"/>
    <mergeCell ref="B22:C22"/>
  </mergeCells>
  <hyperlinks>
    <hyperlink ref="C3" r:id="rId1" xr:uid="{6AF0B7EC-124B-4358-87C7-8EE31208DB1D}"/>
    <hyperlink ref="C13" r:id="rId2" xr:uid="{CAEE3880-2B84-41CF-8CDE-96B9163BFB09}"/>
    <hyperlink ref="C11" r:id="rId3" xr:uid="{04B01EAC-7D6E-4C81-97D1-05F7F07C507D}"/>
    <hyperlink ref="C12" r:id="rId4" xr:uid="{765391E9-8A71-45A0-AFA2-84D6FE29E335}"/>
    <hyperlink ref="C16" r:id="rId5" xr:uid="{F2BA051C-8D73-4F5F-9120-26194F9416EA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"/>
  <sheetViews>
    <sheetView zoomScaleNormal="100" workbookViewId="0">
      <pane ySplit="4" topLeftCell="A5" activePane="bottomLeft" state="frozen"/>
      <selection pane="bottomLeft" activeCell="F5" sqref="F5"/>
    </sheetView>
  </sheetViews>
  <sheetFormatPr defaultColWidth="8.6640625" defaultRowHeight="14.4" x14ac:dyDescent="0.3"/>
  <cols>
    <col min="1" max="1" width="7" customWidth="1"/>
    <col min="2" max="2" width="11" customWidth="1"/>
    <col min="3" max="4" width="26" customWidth="1"/>
    <col min="5" max="5" width="50" customWidth="1"/>
    <col min="6" max="6" width="24" customWidth="1"/>
    <col min="7" max="8" width="14" customWidth="1"/>
    <col min="9" max="9" width="36" customWidth="1"/>
  </cols>
  <sheetData>
    <row r="1" spans="1:9" ht="30" customHeight="1" x14ac:dyDescent="0.3">
      <c r="A1" s="45" t="s">
        <v>153</v>
      </c>
      <c r="B1" s="45"/>
      <c r="C1" s="45"/>
      <c r="D1" s="45"/>
      <c r="E1" s="45"/>
      <c r="F1" s="45"/>
      <c r="G1" s="45"/>
      <c r="H1" s="45"/>
      <c r="I1" s="45"/>
    </row>
    <row r="2" spans="1:9" ht="24" customHeight="1" x14ac:dyDescent="0.3">
      <c r="A2" s="31" t="s">
        <v>154</v>
      </c>
      <c r="B2" s="31"/>
      <c r="C2" s="31"/>
      <c r="D2" s="31"/>
      <c r="E2" s="31"/>
      <c r="F2" s="31"/>
      <c r="G2" s="31"/>
      <c r="H2" s="31"/>
      <c r="I2" s="31"/>
    </row>
    <row r="3" spans="1:9" ht="37.5" customHeight="1" x14ac:dyDescent="0.3">
      <c r="A3" s="46" t="s">
        <v>155</v>
      </c>
      <c r="B3" s="46"/>
      <c r="C3" s="46"/>
      <c r="D3" s="46"/>
      <c r="E3" s="46"/>
      <c r="F3" s="46"/>
      <c r="G3" s="46"/>
      <c r="H3" s="46"/>
      <c r="I3" s="46"/>
    </row>
    <row r="4" spans="1:9" ht="27.75" customHeight="1" x14ac:dyDescent="0.3">
      <c r="A4" s="18" t="s">
        <v>93</v>
      </c>
      <c r="B4" s="18" t="s">
        <v>156</v>
      </c>
      <c r="C4" s="18" t="s">
        <v>157</v>
      </c>
      <c r="D4" s="18" t="s">
        <v>158</v>
      </c>
      <c r="E4" s="18" t="s">
        <v>159</v>
      </c>
      <c r="F4" s="18" t="s">
        <v>160</v>
      </c>
      <c r="G4" s="18" t="s">
        <v>161</v>
      </c>
      <c r="H4" s="18" t="s">
        <v>162</v>
      </c>
      <c r="I4" s="18" t="s">
        <v>163</v>
      </c>
    </row>
    <row r="5" spans="1:9" ht="43.5" customHeight="1" x14ac:dyDescent="0.3">
      <c r="A5" s="2">
        <v>1</v>
      </c>
      <c r="B5" s="2" t="s">
        <v>164</v>
      </c>
      <c r="C5" s="3"/>
      <c r="D5" s="3" t="s">
        <v>165</v>
      </c>
      <c r="E5" s="3" t="s">
        <v>166</v>
      </c>
      <c r="F5" s="3"/>
      <c r="G5" s="2" t="s">
        <v>35</v>
      </c>
      <c r="H5" s="2" t="s">
        <v>35</v>
      </c>
      <c r="I5" s="15"/>
    </row>
    <row r="6" spans="1:9" ht="43.5" customHeight="1" x14ac:dyDescent="0.3">
      <c r="A6" s="5">
        <v>2</v>
      </c>
      <c r="B6" s="5" t="s">
        <v>167</v>
      </c>
      <c r="C6" s="6"/>
      <c r="D6" s="6" t="s">
        <v>168</v>
      </c>
      <c r="E6" s="6" t="s">
        <v>169</v>
      </c>
      <c r="F6" s="6"/>
      <c r="G6" s="5" t="s">
        <v>35</v>
      </c>
      <c r="H6" s="5" t="s">
        <v>35</v>
      </c>
      <c r="I6" s="17"/>
    </row>
    <row r="7" spans="1:9" ht="43.5" customHeight="1" x14ac:dyDescent="0.3">
      <c r="A7" s="2">
        <v>3</v>
      </c>
      <c r="B7" s="2" t="s">
        <v>170</v>
      </c>
      <c r="C7" s="3"/>
      <c r="D7" s="3" t="s">
        <v>171</v>
      </c>
      <c r="E7" s="3" t="s">
        <v>172</v>
      </c>
      <c r="F7" s="3"/>
      <c r="G7" s="2" t="s">
        <v>35</v>
      </c>
      <c r="H7" s="2" t="s">
        <v>35</v>
      </c>
      <c r="I7" s="15"/>
    </row>
    <row r="8" spans="1:9" ht="43.5" customHeight="1" x14ac:dyDescent="0.3">
      <c r="A8" s="5">
        <v>4</v>
      </c>
      <c r="B8" s="5" t="s">
        <v>173</v>
      </c>
      <c r="C8" s="6"/>
      <c r="D8" s="6" t="s">
        <v>174</v>
      </c>
      <c r="E8" s="6" t="s">
        <v>175</v>
      </c>
      <c r="F8" s="6"/>
      <c r="G8" s="5" t="s">
        <v>35</v>
      </c>
      <c r="H8" s="5" t="s">
        <v>35</v>
      </c>
      <c r="I8" s="17"/>
    </row>
    <row r="9" spans="1:9" ht="43.5" customHeight="1" x14ac:dyDescent="0.3">
      <c r="A9" s="2">
        <v>5</v>
      </c>
      <c r="B9" s="2" t="s">
        <v>176</v>
      </c>
      <c r="C9" s="3"/>
      <c r="D9" s="3" t="s">
        <v>177</v>
      </c>
      <c r="E9" s="3" t="s">
        <v>178</v>
      </c>
      <c r="F9" s="3"/>
      <c r="G9" s="2" t="s">
        <v>35</v>
      </c>
      <c r="H9" s="2" t="s">
        <v>35</v>
      </c>
      <c r="I9" s="15"/>
    </row>
    <row r="10" spans="1:9" ht="43.5" customHeight="1" x14ac:dyDescent="0.3">
      <c r="A10" s="5">
        <v>6</v>
      </c>
      <c r="B10" s="5" t="s">
        <v>179</v>
      </c>
      <c r="C10" s="6"/>
      <c r="D10" s="6" t="s">
        <v>180</v>
      </c>
      <c r="E10" s="6" t="s">
        <v>181</v>
      </c>
      <c r="F10" s="6"/>
      <c r="G10" s="5" t="s">
        <v>35</v>
      </c>
      <c r="H10" s="5" t="s">
        <v>35</v>
      </c>
      <c r="I10" s="17"/>
    </row>
    <row r="11" spans="1:9" ht="43.5" customHeight="1" x14ac:dyDescent="0.3">
      <c r="A11" s="2">
        <v>7</v>
      </c>
      <c r="B11" s="2" t="s">
        <v>182</v>
      </c>
      <c r="C11" s="3"/>
      <c r="D11" s="3" t="s">
        <v>183</v>
      </c>
      <c r="E11" s="3" t="s">
        <v>184</v>
      </c>
      <c r="F11" s="3"/>
      <c r="G11" s="2" t="s">
        <v>35</v>
      </c>
      <c r="H11" s="2" t="s">
        <v>35</v>
      </c>
      <c r="I11" s="15"/>
    </row>
  </sheetData>
  <mergeCells count="3">
    <mergeCell ref="A1:I1"/>
    <mergeCell ref="A2:I2"/>
    <mergeCell ref="A3:I3"/>
  </mergeCells>
  <conditionalFormatting sqref="G5:H11">
    <cfRule type="cellIs" dxfId="2" priority="2" operator="equal">
      <formula>"✅ Completed"</formula>
    </cfRule>
    <cfRule type="cellIs" dxfId="1" priority="3" operator="equal">
      <formula>"🔄 In Progress"</formula>
    </cfRule>
    <cfRule type="cellIs" dxfId="0" priority="4" operator="equal">
      <formula>"⏳ Not Started"</formula>
    </cfRule>
  </conditionalFormatting>
  <dataValidations count="1">
    <dataValidation type="list" allowBlank="1" sqref="G5:H11" xr:uid="{00000000-0002-0000-0700-000000000000}">
      <formula1>"✅ Completed,🔄 In Progress,⏳ Not Started,❌ Failed / Needs Review"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TraineeProgressTracker</vt:lpstr>
      <vt:lpstr>Qt_Training_Plan</vt:lpstr>
      <vt:lpstr>Qt_Practice_Tasks</vt:lpstr>
      <vt:lpstr>Qt_LearningMaterial</vt:lpstr>
      <vt:lpstr>Qt_FinalProject(Optional)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Mane, Parag</cp:lastModifiedBy>
  <cp:revision>0</cp:revision>
  <dcterms:created xsi:type="dcterms:W3CDTF">2026-05-06T11:31:04Z</dcterms:created>
  <dcterms:modified xsi:type="dcterms:W3CDTF">2026-05-14T04:43:23Z</dcterms:modified>
  <dc:language>en-US</dc:language>
</cp:coreProperties>
</file>